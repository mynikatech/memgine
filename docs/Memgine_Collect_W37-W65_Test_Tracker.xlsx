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nikaTech\memgine\docs\"/>
    </mc:Choice>
  </mc:AlternateContent>
  <xr:revisionPtr revIDLastSave="0" documentId="13_ncr:1_{6C0F7048-83A3-4D87-B2CE-4D5221E33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37-W65 Tracker" sheetId="1" r:id="rId1"/>
  </sheets>
  <calcPr calcId="191029"/>
</workbook>
</file>

<file path=xl/calcChain.xml><?xml version="1.0" encoding="utf-8"?>
<calcChain xmlns="http://schemas.openxmlformats.org/spreadsheetml/2006/main">
  <c r="H3" i="1" l="1"/>
  <c r="F3" i="1"/>
  <c r="D3" i="1"/>
</calcChain>
</file>

<file path=xl/sharedStrings.xml><?xml version="1.0" encoding="utf-8"?>
<sst xmlns="http://schemas.openxmlformats.org/spreadsheetml/2006/main" count="276" uniqueCount="179">
  <si>
    <t>MEMGINE  |  Poynt Collect — Remote Customer E2E Tests</t>
  </si>
  <si>
    <t>Unit tests: reported completed by Codex (not independently verified here). Integration/browser outcomes are tracked separately.</t>
  </si>
  <si>
    <t>Total scenarios</t>
  </si>
  <si>
    <t>Integration passed</t>
  </si>
  <si>
    <t>Integration pending</t>
  </si>
  <si>
    <t>Integration failed</t>
  </si>
  <si>
    <t>Test ID</t>
  </si>
  <si>
    <t>Scenario</t>
  </si>
  <si>
    <t>Expected result</t>
  </si>
  <si>
    <t>Test method</t>
  </si>
  <si>
    <t>Original status</t>
  </si>
  <si>
    <t>Test execution type</t>
  </si>
  <si>
    <t>Existing unit coverage (baseline)</t>
  </si>
  <si>
    <t>Completion / remaining validation</t>
  </si>
  <si>
    <t>Integration / browser status</t>
  </si>
  <si>
    <t>W37</t>
  </si>
  <si>
    <t>Normal payment approval</t>
  </si>
  <si>
    <t>PROCESSING → SUCCEEDED</t>
  </si>
  <si>
    <t>Real Test Lab payment</t>
  </si>
  <si>
    <t>Passed</t>
  </si>
  <si>
    <t>Unit + Browser Manual</t>
  </si>
  <si>
    <t>Partial - Captured SALE provider test exists</t>
  </si>
  <si>
    <t>Prior real payment passed; confirm customer-to-subscription E2E evidence</t>
  </si>
  <si>
    <t>Not started</t>
  </si>
  <si>
    <t>W38</t>
  </si>
  <si>
    <t>Delayed response (5–15 seconds)</t>
  </si>
  <si>
    <t>Processing remains visible; success follows</t>
  </si>
  <si>
    <t>Controlled delayed provider response</t>
  </si>
  <si>
    <t>Pending</t>
  </si>
  <si>
    <t>Unit + Browser Simulation</t>
  </si>
  <si>
    <t>Missing - Delayed response test</t>
  </si>
  <si>
    <t>Unit PASS (reported); browser/manual simulation PENDING</t>
  </si>
  <si>
    <t>W39</t>
  </si>
  <si>
    <t>Long delay (30–60 seconds)</t>
  </si>
  <si>
    <t>No premature failure or attention warning</t>
  </si>
  <si>
    <t>Controlled delayed response</t>
  </si>
  <si>
    <t>Missing - Long delay test</t>
  </si>
  <si>
    <t>W40</t>
  </si>
  <si>
    <t>Repeated PROCESSING responses</t>
  </si>
  <si>
    <t>Read-only status polling continues</t>
  </si>
  <si>
    <t>Controlled API response sequence</t>
  </si>
  <si>
    <t>Unit + Integration</t>
  </si>
  <si>
    <t>Missing - Repeated PROCESSING polling test</t>
  </si>
  <si>
    <t>Unit PASS (reported); DEV integration PENDING</t>
  </si>
  <si>
    <t>W41</t>
  </si>
  <si>
    <t>Captured payment, response lost</t>
  </si>
  <si>
    <t>Read-only reconciliation recovers SUCCEEDED</t>
  </si>
  <si>
    <t>Existing captured transaction verified</t>
  </si>
  <si>
    <t>Covered - Read-only reconciliation test</t>
  </si>
  <si>
    <t>Previously marked Passed; confirm DEV recovery evidence / reconciliation</t>
  </si>
  <si>
    <t>W42</t>
  </si>
  <si>
    <t>Temporary status API failure</t>
  </si>
  <si>
    <t>Original intent preserved; recovery available</t>
  </si>
  <si>
    <t>Simulated GET error</t>
  </si>
  <si>
    <t>Missing - Temporary status API failure test</t>
  </si>
  <si>
    <t>W43</t>
  </si>
  <si>
    <t>Polling reaches timeout</t>
  </si>
  <si>
    <t>Uncertain status; manual recheck; no retry</t>
  </si>
  <si>
    <t>Controlled timeout</t>
  </si>
  <si>
    <t>Missing - Polling timeout test</t>
  </si>
  <si>
    <t>W44</t>
  </si>
  <si>
    <t>Success after polling timeout</t>
  </si>
  <si>
    <t>Manual recheck detects success</t>
  </si>
  <si>
    <t>Delayed success simulation</t>
  </si>
  <si>
    <t>Integration + Browser Simulation</t>
  </si>
  <si>
    <t>Missing - Success after timeout test</t>
  </si>
  <si>
    <t>Unit PASS (reported); DEV integration + browser PENDING</t>
  </si>
  <si>
    <t>W45</t>
  </si>
  <si>
    <t>Browser refresh during processing</t>
  </si>
  <si>
    <t>Existing payment recovered</t>
  </si>
  <si>
    <t>Browser test with controlled delay</t>
  </si>
  <si>
    <t>Browser Manual</t>
  </si>
  <si>
    <t>Missing - Browser refresh recovery test</t>
  </si>
  <si>
    <t>Browser manual PENDING</t>
  </si>
  <si>
    <t>W46</t>
  </si>
  <si>
    <t>Browser tab closed during processing</t>
  </si>
  <si>
    <t>Recovery after reopening/login</t>
  </si>
  <si>
    <t>Missing - Browser tab closure recovery test</t>
  </si>
  <si>
    <t>W47</t>
  </si>
  <si>
    <t>Browser Back during processing</t>
  </si>
  <si>
    <t>No second charge</t>
  </si>
  <si>
    <t>Browser navigation test</t>
  </si>
  <si>
    <t>Missing - Browser Back navigation test</t>
  </si>
  <si>
    <t>W48</t>
  </si>
  <si>
    <t>Duplicate confirmation requests</t>
  </si>
  <si>
    <t>At most one charge and one subscription</t>
  </si>
  <si>
    <t>Concurrency / API test</t>
  </si>
  <si>
    <t>Integration</t>
  </si>
  <si>
    <t>Covered - Concurrent confirmation test</t>
  </si>
  <si>
    <t>Unit PASS (reported, if applicable); DEV integration PENDING</t>
  </si>
  <si>
    <t>W49</t>
  </si>
  <si>
    <t>Poynt transaction not found</t>
  </si>
  <si>
    <t>Unresolved; no false failure</t>
  </si>
  <si>
    <t>Mocked GET lookup</t>
  </si>
  <si>
    <t>Unit</t>
  </si>
  <si>
    <t>Partial - Transaction lookup uncertainty test</t>
  </si>
  <si>
    <t>Unit PASS (per yesterday’s Codex report; verify test results) — no live integration required</t>
  </si>
  <si>
    <t>W50</t>
  </si>
  <si>
    <t>Wrong transaction or amount</t>
  </si>
  <si>
    <t>Cannot finalize payment</t>
  </si>
  <si>
    <t>Mocked mismatched response</t>
  </si>
  <si>
    <t>Covered - Transaction and amount mismatch tests</t>
  </si>
  <si>
    <t>W51</t>
  </si>
  <si>
    <t>Captured, activation pending</t>
  </si>
  <si>
    <t>Payment received; no false success of activation</t>
  </si>
  <si>
    <t>Simulated delayed finalization</t>
  </si>
  <si>
    <t>Partial - Subscription finalization test</t>
  </si>
  <si>
    <t>W52</t>
  </si>
  <si>
    <t>Definitive payment decline</t>
  </si>
  <si>
    <t>FAILED; no subscription created</t>
  </si>
  <si>
    <t>Provider-supported decline scenario</t>
  </si>
  <si>
    <t>Unit + Integration + Browser Manual</t>
  </si>
  <si>
    <t>Partial - Definitive decline test; verify fixture</t>
  </si>
  <si>
    <t>W53</t>
  </si>
  <si>
    <t>Concurrent status checks</t>
  </si>
  <si>
    <t>Single finalization; no duplicate subscription</t>
  </si>
  <si>
    <t>Parallel GET integration test</t>
  </si>
  <si>
    <t>Missing - Concurrent status GET test</t>
  </si>
  <si>
    <t>W54</t>
  </si>
  <si>
    <t>Google Pay cancelled before authorization</t>
  </si>
  <si>
    <t>No charge; original checkout remains usable</t>
  </si>
  <si>
    <t>Frontend mock + Google Pay browser test</t>
  </si>
  <si>
    <t>Missing - Google Pay cancellation test</t>
  </si>
  <si>
    <t>W55</t>
  </si>
  <si>
    <t>Wallet authorized but confirmation response lost</t>
  </si>
  <si>
    <t>Reconcile without repeating wallet nonce</t>
  </si>
  <si>
    <t>Backend failure simulation</t>
  </si>
  <si>
    <t>Partial - Timeout and reconciliation tests exist separately</t>
  </si>
  <si>
    <t>W56</t>
  </si>
  <si>
    <t>Card tokenization fails before charge submission</t>
  </si>
  <si>
    <t>No charge; safe validation error</t>
  </si>
  <si>
    <t>Mocked Poynt tokenization failure</t>
  </si>
  <si>
    <t>Covered - Tokenization failure test</t>
  </si>
  <si>
    <t>W57</t>
  </si>
  <si>
    <t>Poynt OAuth token expired or refresh fails</t>
  </si>
  <si>
    <t>No incorrect decline; safe retry/reconciliation based on charge stage</t>
  </si>
  <si>
    <t>Mocked OAuth failure</t>
  </si>
  <si>
    <t>Partial - OAuth failure tested; token refresh not verified</t>
  </si>
  <si>
    <t>W58</t>
  </si>
  <si>
    <t>Poynt returns HTTP 500 after receiving charge</t>
  </si>
  <si>
    <t>Ambiguous outcome; never repost automatically</t>
  </si>
  <si>
    <t>Mocked HTTP 500 after charge submission</t>
  </si>
  <si>
    <t>Covered - Ambiguous HTTP response test</t>
  </si>
  <si>
    <t>W59</t>
  </si>
  <si>
    <t>Payment authorized but not captured</t>
  </si>
  <si>
    <t>Must not be marked SUCCEEDED for SALE</t>
  </si>
  <si>
    <t>Mocked AUTHORIZED response</t>
  </si>
  <si>
    <t>Covered - AUTHORIZED is not CAPTURED test</t>
  </si>
  <si>
    <t>W60</t>
  </si>
  <si>
    <t>Partial capture or partial approval</t>
  </si>
  <si>
    <t>No full-payment finalization</t>
  </si>
  <si>
    <t>Mocked partial approval</t>
  </si>
  <si>
    <t>Covered - Partial capture and approval tests</t>
  </si>
  <si>
    <t>W61</t>
  </si>
  <si>
    <t>Poynt returns refund, void or reversal state</t>
  </si>
  <si>
    <t>Must not be interpreted as successful SALE</t>
  </si>
  <si>
    <t>Mocked refund/void/reversal</t>
  </si>
  <si>
    <t>Covered - Refund, void and reversal tests</t>
  </si>
  <si>
    <t>W62</t>
  </si>
  <si>
    <t>Duplicate or inconsistent transaction lookup results</t>
  </si>
  <si>
    <t>No arbitrary transaction selection</t>
  </si>
  <si>
    <t>Mocked transaction lookup</t>
  </si>
  <si>
    <t>Partial - Transaction correlation tests; duplicate lookup not verified</t>
  </si>
  <si>
    <t>W63</t>
  </si>
  <si>
    <t>Status request for a different customer</t>
  </si>
  <si>
    <t>Access denied without information leakage</t>
  </si>
  <si>
    <t>Authenticated API test</t>
  </si>
  <si>
    <t>Covered - Wrong customer/organization authorization test</t>
  </si>
  <si>
    <t>W64</t>
  </si>
  <si>
    <t>Two concurrent submissions from separate browser tabs</t>
  </si>
  <si>
    <t>No duplicate charge for same payment intent</t>
  </si>
  <si>
    <t>Concurrent API request test</t>
  </si>
  <si>
    <t>Integration + Browser Manual</t>
  </si>
  <si>
    <t>Partial - Concurrent confirmation tested; multi-session DB test missing</t>
  </si>
  <si>
    <t>W65</t>
  </si>
  <si>
    <t>Google Pay unsupported browser</t>
  </si>
  <si>
    <t>Wallet hidden; card remains available</t>
  </si>
  <si>
    <t>Mocked SDK capability + browser check</t>
  </si>
  <si>
    <t>Missing - Google Pay unsupported browser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</si>
</sst>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rlito"/>
    </font>
    <font>
      <sz val="10"/>
      <color rgb="FF30506B"/>
      <name val="Carlito"/>
    </font>
    <font>
      <b/>
      <sz val="11"/>
      <color rgb="FF17324D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23699E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F2F6FA"/>
      </patternFill>
    </fill>
    <fill>
      <patternFill patternType="solid">
        <fgColor rgb="FF215B83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/>
    <xf numFmtId="0" fontId="4" fillId="5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</cellXfs>
  <cellStyles count="1">
    <cellStyle name="Normal" xfId="0" builtinId="0"/>
  </cellStyles>
  <dxfs count="4">
    <dxf>
      <fill>
        <patternFill patternType="solid">
          <bgColor rgb="FFDBEAFE"/>
        </patternFill>
      </fill>
    </dxf>
    <dxf>
      <fill>
        <patternFill patternType="solid">
          <bgColor rgb="FFFDE68A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llectE2ETests" displayName="CollectE2ETests" ref="A5:I34" totalsRowShown="0">
  <tableColumns count="9">
    <tableColumn id="1" xr3:uid="{00000000-0010-0000-0000-000001000000}" name="Test ID"/>
    <tableColumn id="2" xr3:uid="{00000000-0010-0000-0000-000002000000}" name="Scenario"/>
    <tableColumn id="3" xr3:uid="{00000000-0010-0000-0000-000003000000}" name="Expected result"/>
    <tableColumn id="4" xr3:uid="{00000000-0010-0000-0000-000004000000}" name="Test method"/>
    <tableColumn id="5" xr3:uid="{00000000-0010-0000-0000-000005000000}" name="Original status"/>
    <tableColumn id="6" xr3:uid="{00000000-0010-0000-0000-000006000000}" name="Test execution type"/>
    <tableColumn id="7" xr3:uid="{00000000-0010-0000-0000-000007000000}" name="Existing unit coverage (baseline)"/>
    <tableColumn id="8" xr3:uid="{00000000-0010-0000-0000-000008000000}" name="Completion / remaining validation"/>
    <tableColumn id="9" xr3:uid="{00000000-0010-0000-0000-000009000000}" name="Integration / browser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topLeftCell="D1" workbookViewId="0">
      <pane ySplit="5" topLeftCell="A6" activePane="bottomLeft" state="frozen"/>
      <selection pane="bottomLeft" activeCell="H8" sqref="H8"/>
    </sheetView>
  </sheetViews>
  <sheetFormatPr defaultRowHeight="14.25"/>
  <cols>
    <col min="1" max="1" width="12" customWidth="1"/>
    <col min="2" max="2" width="35" customWidth="1"/>
    <col min="3" max="3" width="45" customWidth="1"/>
    <col min="4" max="4" width="38" customWidth="1"/>
    <col min="5" max="5" width="17" customWidth="1"/>
    <col min="6" max="6" width="29" customWidth="1"/>
    <col min="7" max="7" width="54" customWidth="1"/>
    <col min="8" max="8" width="65" customWidth="1"/>
    <col min="9" max="9" width="23" customWidth="1"/>
  </cols>
  <sheetData>
    <row r="1" spans="1:9" ht="33.950000000000003" customHeight="1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24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26.1" customHeight="1">
      <c r="A3" s="1" t="s">
        <v>2</v>
      </c>
      <c r="B3" s="1">
        <v>29</v>
      </c>
      <c r="C3" s="1" t="s">
        <v>3</v>
      </c>
      <c r="D3" s="1">
        <f>COUNTIF(I6:I34,"Passed")</f>
        <v>1</v>
      </c>
      <c r="E3" s="1" t="s">
        <v>4</v>
      </c>
      <c r="F3" s="1">
        <f>COUNTIF(I6:I34,"Not started")+COUNTIF(I6:I34,"In progress")+COUNTIF(I6:I34,"Blocked")</f>
        <v>28</v>
      </c>
      <c r="G3" s="1" t="s">
        <v>5</v>
      </c>
      <c r="H3" s="1">
        <f>COUNTIF(I6:I34,"Failed")</f>
        <v>0</v>
      </c>
      <c r="I3" s="1"/>
    </row>
    <row r="5" spans="1:9" ht="32.1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</row>
    <row r="6" spans="1:9" ht="54" customHeight="1">
      <c r="A6" s="4" t="s">
        <v>15</v>
      </c>
      <c r="B6" s="3" t="s">
        <v>16</v>
      </c>
      <c r="C6" s="3" t="s">
        <v>17</v>
      </c>
      <c r="D6" s="3" t="s">
        <v>18</v>
      </c>
      <c r="E6" s="5" t="s">
        <v>19</v>
      </c>
      <c r="F6" s="3" t="s">
        <v>20</v>
      </c>
      <c r="G6" s="3" t="s">
        <v>21</v>
      </c>
      <c r="H6" s="3" t="s">
        <v>22</v>
      </c>
      <c r="I6" s="6" t="s">
        <v>19</v>
      </c>
    </row>
    <row r="7" spans="1:9" ht="54" customHeight="1">
      <c r="A7" s="4" t="s">
        <v>24</v>
      </c>
      <c r="B7" s="3" t="s">
        <v>25</v>
      </c>
      <c r="C7" s="3" t="s">
        <v>26</v>
      </c>
      <c r="D7" s="3" t="s">
        <v>27</v>
      </c>
      <c r="E7" s="5" t="s">
        <v>28</v>
      </c>
      <c r="F7" s="3" t="s">
        <v>29</v>
      </c>
      <c r="G7" s="3" t="s">
        <v>30</v>
      </c>
      <c r="H7" s="3" t="s">
        <v>31</v>
      </c>
      <c r="I7" s="6" t="s">
        <v>23</v>
      </c>
    </row>
    <row r="8" spans="1:9" ht="54" customHeight="1">
      <c r="A8" s="4" t="s">
        <v>32</v>
      </c>
      <c r="B8" s="3" t="s">
        <v>33</v>
      </c>
      <c r="C8" s="3" t="s">
        <v>34</v>
      </c>
      <c r="D8" s="3" t="s">
        <v>35</v>
      </c>
      <c r="E8" s="5" t="s">
        <v>28</v>
      </c>
      <c r="F8" s="3" t="s">
        <v>29</v>
      </c>
      <c r="G8" s="3" t="s">
        <v>36</v>
      </c>
      <c r="H8" s="3" t="s">
        <v>31</v>
      </c>
      <c r="I8" s="6" t="s">
        <v>23</v>
      </c>
    </row>
    <row r="9" spans="1:9" ht="54" customHeight="1">
      <c r="A9" s="4" t="s">
        <v>37</v>
      </c>
      <c r="B9" s="3" t="s">
        <v>38</v>
      </c>
      <c r="C9" s="3" t="s">
        <v>39</v>
      </c>
      <c r="D9" s="3" t="s">
        <v>40</v>
      </c>
      <c r="E9" s="5" t="s">
        <v>28</v>
      </c>
      <c r="F9" s="3" t="s">
        <v>41</v>
      </c>
      <c r="G9" s="3" t="s">
        <v>42</v>
      </c>
      <c r="H9" s="3" t="s">
        <v>43</v>
      </c>
      <c r="I9" s="6" t="s">
        <v>23</v>
      </c>
    </row>
    <row r="10" spans="1:9" ht="54" customHeight="1">
      <c r="A10" s="4" t="s">
        <v>44</v>
      </c>
      <c r="B10" s="3" t="s">
        <v>45</v>
      </c>
      <c r="C10" s="3" t="s">
        <v>46</v>
      </c>
      <c r="D10" s="3" t="s">
        <v>47</v>
      </c>
      <c r="E10" s="5" t="s">
        <v>19</v>
      </c>
      <c r="F10" s="3" t="s">
        <v>41</v>
      </c>
      <c r="G10" s="3" t="s">
        <v>48</v>
      </c>
      <c r="H10" s="3" t="s">
        <v>49</v>
      </c>
      <c r="I10" s="6" t="s">
        <v>23</v>
      </c>
    </row>
    <row r="11" spans="1:9" ht="54" customHeight="1">
      <c r="A11" s="4" t="s">
        <v>50</v>
      </c>
      <c r="B11" s="3" t="s">
        <v>51</v>
      </c>
      <c r="C11" s="3" t="s">
        <v>52</v>
      </c>
      <c r="D11" s="3" t="s">
        <v>53</v>
      </c>
      <c r="E11" s="5" t="s">
        <v>28</v>
      </c>
      <c r="F11" s="3" t="s">
        <v>41</v>
      </c>
      <c r="G11" s="3" t="s">
        <v>54</v>
      </c>
      <c r="H11" s="3" t="s">
        <v>43</v>
      </c>
      <c r="I11" s="6" t="s">
        <v>23</v>
      </c>
    </row>
    <row r="12" spans="1:9" ht="54" customHeight="1">
      <c r="A12" s="4" t="s">
        <v>55</v>
      </c>
      <c r="B12" s="3" t="s">
        <v>56</v>
      </c>
      <c r="C12" s="3" t="s">
        <v>57</v>
      </c>
      <c r="D12" s="3" t="s">
        <v>58</v>
      </c>
      <c r="E12" s="5" t="s">
        <v>28</v>
      </c>
      <c r="F12" s="3" t="s">
        <v>29</v>
      </c>
      <c r="G12" s="3" t="s">
        <v>59</v>
      </c>
      <c r="H12" s="3" t="s">
        <v>31</v>
      </c>
      <c r="I12" s="6" t="s">
        <v>23</v>
      </c>
    </row>
    <row r="13" spans="1:9" ht="54" customHeight="1">
      <c r="A13" s="4" t="s">
        <v>60</v>
      </c>
      <c r="B13" s="3" t="s">
        <v>61</v>
      </c>
      <c r="C13" s="3" t="s">
        <v>62</v>
      </c>
      <c r="D13" s="3" t="s">
        <v>63</v>
      </c>
      <c r="E13" s="5" t="s">
        <v>28</v>
      </c>
      <c r="F13" s="3" t="s">
        <v>64</v>
      </c>
      <c r="G13" s="3" t="s">
        <v>65</v>
      </c>
      <c r="H13" s="3" t="s">
        <v>66</v>
      </c>
      <c r="I13" s="6" t="s">
        <v>23</v>
      </c>
    </row>
    <row r="14" spans="1:9" ht="54" customHeight="1">
      <c r="A14" s="4" t="s">
        <v>67</v>
      </c>
      <c r="B14" s="3" t="s">
        <v>68</v>
      </c>
      <c r="C14" s="3" t="s">
        <v>69</v>
      </c>
      <c r="D14" s="3" t="s">
        <v>70</v>
      </c>
      <c r="E14" s="5" t="s">
        <v>28</v>
      </c>
      <c r="F14" s="3" t="s">
        <v>71</v>
      </c>
      <c r="G14" s="3" t="s">
        <v>72</v>
      </c>
      <c r="H14" s="3" t="s">
        <v>73</v>
      </c>
      <c r="I14" s="6" t="s">
        <v>23</v>
      </c>
    </row>
    <row r="15" spans="1:9" ht="54" customHeight="1">
      <c r="A15" s="4" t="s">
        <v>74</v>
      </c>
      <c r="B15" s="3" t="s">
        <v>75</v>
      </c>
      <c r="C15" s="3" t="s">
        <v>76</v>
      </c>
      <c r="D15" s="3" t="s">
        <v>70</v>
      </c>
      <c r="E15" s="5" t="s">
        <v>28</v>
      </c>
      <c r="F15" s="3" t="s">
        <v>71</v>
      </c>
      <c r="G15" s="3" t="s">
        <v>77</v>
      </c>
      <c r="H15" s="3" t="s">
        <v>73</v>
      </c>
      <c r="I15" s="6" t="s">
        <v>23</v>
      </c>
    </row>
    <row r="16" spans="1:9" ht="54" customHeight="1">
      <c r="A16" s="4" t="s">
        <v>78</v>
      </c>
      <c r="B16" s="3" t="s">
        <v>79</v>
      </c>
      <c r="C16" s="3" t="s">
        <v>80</v>
      </c>
      <c r="D16" s="3" t="s">
        <v>81</v>
      </c>
      <c r="E16" s="5" t="s">
        <v>28</v>
      </c>
      <c r="F16" s="3" t="s">
        <v>71</v>
      </c>
      <c r="G16" s="3" t="s">
        <v>82</v>
      </c>
      <c r="H16" s="3" t="s">
        <v>73</v>
      </c>
      <c r="I16" s="6" t="s">
        <v>23</v>
      </c>
    </row>
    <row r="17" spans="1:9" ht="54" customHeight="1">
      <c r="A17" s="4" t="s">
        <v>83</v>
      </c>
      <c r="B17" s="3" t="s">
        <v>84</v>
      </c>
      <c r="C17" s="3" t="s">
        <v>85</v>
      </c>
      <c r="D17" s="3" t="s">
        <v>86</v>
      </c>
      <c r="E17" s="5" t="s">
        <v>28</v>
      </c>
      <c r="F17" s="3" t="s">
        <v>87</v>
      </c>
      <c r="G17" s="3" t="s">
        <v>88</v>
      </c>
      <c r="H17" s="3" t="s">
        <v>89</v>
      </c>
      <c r="I17" s="6" t="s">
        <v>23</v>
      </c>
    </row>
    <row r="18" spans="1:9" ht="54" customHeight="1">
      <c r="A18" s="4" t="s">
        <v>90</v>
      </c>
      <c r="B18" s="3" t="s">
        <v>91</v>
      </c>
      <c r="C18" s="3" t="s">
        <v>92</v>
      </c>
      <c r="D18" s="3" t="s">
        <v>93</v>
      </c>
      <c r="E18" s="5" t="s">
        <v>28</v>
      </c>
      <c r="F18" s="3" t="s">
        <v>94</v>
      </c>
      <c r="G18" s="3" t="s">
        <v>95</v>
      </c>
      <c r="H18" s="3" t="s">
        <v>96</v>
      </c>
      <c r="I18" s="6" t="s">
        <v>23</v>
      </c>
    </row>
    <row r="19" spans="1:9" ht="54" customHeight="1">
      <c r="A19" s="4" t="s">
        <v>97</v>
      </c>
      <c r="B19" s="3" t="s">
        <v>98</v>
      </c>
      <c r="C19" s="3" t="s">
        <v>99</v>
      </c>
      <c r="D19" s="3" t="s">
        <v>100</v>
      </c>
      <c r="E19" s="5" t="s">
        <v>28</v>
      </c>
      <c r="F19" s="3" t="s">
        <v>94</v>
      </c>
      <c r="G19" s="3" t="s">
        <v>101</v>
      </c>
      <c r="H19" s="3" t="s">
        <v>96</v>
      </c>
      <c r="I19" s="6" t="s">
        <v>23</v>
      </c>
    </row>
    <row r="20" spans="1:9" ht="54" customHeight="1">
      <c r="A20" s="4" t="s">
        <v>102</v>
      </c>
      <c r="B20" s="3" t="s">
        <v>103</v>
      </c>
      <c r="C20" s="3" t="s">
        <v>104</v>
      </c>
      <c r="D20" s="3" t="s">
        <v>105</v>
      </c>
      <c r="E20" s="5" t="s">
        <v>28</v>
      </c>
      <c r="F20" s="3" t="s">
        <v>41</v>
      </c>
      <c r="G20" s="3" t="s">
        <v>106</v>
      </c>
      <c r="H20" s="3" t="s">
        <v>43</v>
      </c>
      <c r="I20" s="6" t="s">
        <v>23</v>
      </c>
    </row>
    <row r="21" spans="1:9" ht="54" customHeight="1">
      <c r="A21" s="4" t="s">
        <v>107</v>
      </c>
      <c r="B21" s="3" t="s">
        <v>108</v>
      </c>
      <c r="C21" s="3" t="s">
        <v>109</v>
      </c>
      <c r="D21" s="3" t="s">
        <v>110</v>
      </c>
      <c r="E21" s="5" t="s">
        <v>28</v>
      </c>
      <c r="F21" s="3" t="s">
        <v>111</v>
      </c>
      <c r="G21" s="3" t="s">
        <v>112</v>
      </c>
      <c r="H21" s="3" t="s">
        <v>66</v>
      </c>
      <c r="I21" s="6" t="s">
        <v>23</v>
      </c>
    </row>
    <row r="22" spans="1:9" ht="54" customHeight="1">
      <c r="A22" s="4" t="s">
        <v>113</v>
      </c>
      <c r="B22" s="3" t="s">
        <v>114</v>
      </c>
      <c r="C22" s="3" t="s">
        <v>115</v>
      </c>
      <c r="D22" s="3" t="s">
        <v>116</v>
      </c>
      <c r="E22" s="5" t="s">
        <v>28</v>
      </c>
      <c r="F22" s="3" t="s">
        <v>87</v>
      </c>
      <c r="G22" s="3" t="s">
        <v>117</v>
      </c>
      <c r="H22" s="3" t="s">
        <v>89</v>
      </c>
      <c r="I22" s="6" t="s">
        <v>23</v>
      </c>
    </row>
    <row r="23" spans="1:9" ht="54" customHeight="1">
      <c r="A23" s="4" t="s">
        <v>118</v>
      </c>
      <c r="B23" s="3" t="s">
        <v>119</v>
      </c>
      <c r="C23" s="3" t="s">
        <v>120</v>
      </c>
      <c r="D23" s="3" t="s">
        <v>121</v>
      </c>
      <c r="E23" s="5" t="s">
        <v>28</v>
      </c>
      <c r="F23" s="3" t="s">
        <v>20</v>
      </c>
      <c r="G23" s="3" t="s">
        <v>122</v>
      </c>
      <c r="H23" s="3" t="s">
        <v>31</v>
      </c>
      <c r="I23" s="6" t="s">
        <v>23</v>
      </c>
    </row>
    <row r="24" spans="1:9" ht="54" customHeight="1">
      <c r="A24" s="4" t="s">
        <v>123</v>
      </c>
      <c r="B24" s="3" t="s">
        <v>124</v>
      </c>
      <c r="C24" s="3" t="s">
        <v>125</v>
      </c>
      <c r="D24" s="3" t="s">
        <v>126</v>
      </c>
      <c r="E24" s="5" t="s">
        <v>28</v>
      </c>
      <c r="F24" s="3" t="s">
        <v>41</v>
      </c>
      <c r="G24" s="3" t="s">
        <v>127</v>
      </c>
      <c r="H24" s="3" t="s">
        <v>43</v>
      </c>
      <c r="I24" s="6" t="s">
        <v>23</v>
      </c>
    </row>
    <row r="25" spans="1:9" ht="54" customHeight="1">
      <c r="A25" s="4" t="s">
        <v>128</v>
      </c>
      <c r="B25" s="3" t="s">
        <v>129</v>
      </c>
      <c r="C25" s="3" t="s">
        <v>130</v>
      </c>
      <c r="D25" s="3" t="s">
        <v>131</v>
      </c>
      <c r="E25" s="5" t="s">
        <v>28</v>
      </c>
      <c r="F25" s="3" t="s">
        <v>94</v>
      </c>
      <c r="G25" s="3" t="s">
        <v>132</v>
      </c>
      <c r="H25" s="3" t="s">
        <v>96</v>
      </c>
      <c r="I25" s="6" t="s">
        <v>23</v>
      </c>
    </row>
    <row r="26" spans="1:9" ht="54" customHeight="1">
      <c r="A26" s="4" t="s">
        <v>133</v>
      </c>
      <c r="B26" s="3" t="s">
        <v>134</v>
      </c>
      <c r="C26" s="3" t="s">
        <v>135</v>
      </c>
      <c r="D26" s="3" t="s">
        <v>136</v>
      </c>
      <c r="E26" s="5" t="s">
        <v>28</v>
      </c>
      <c r="F26" s="3" t="s">
        <v>41</v>
      </c>
      <c r="G26" s="3" t="s">
        <v>137</v>
      </c>
      <c r="H26" s="3" t="s">
        <v>43</v>
      </c>
      <c r="I26" s="6" t="s">
        <v>23</v>
      </c>
    </row>
    <row r="27" spans="1:9" ht="54" customHeight="1">
      <c r="A27" s="4" t="s">
        <v>138</v>
      </c>
      <c r="B27" s="3" t="s">
        <v>139</v>
      </c>
      <c r="C27" s="3" t="s">
        <v>140</v>
      </c>
      <c r="D27" s="3" t="s">
        <v>141</v>
      </c>
      <c r="E27" s="5" t="s">
        <v>28</v>
      </c>
      <c r="F27" s="3" t="s">
        <v>41</v>
      </c>
      <c r="G27" s="3" t="s">
        <v>142</v>
      </c>
      <c r="H27" s="3" t="s">
        <v>43</v>
      </c>
      <c r="I27" s="6" t="s">
        <v>23</v>
      </c>
    </row>
    <row r="28" spans="1:9" ht="54" customHeight="1">
      <c r="A28" s="4" t="s">
        <v>143</v>
      </c>
      <c r="B28" s="3" t="s">
        <v>144</v>
      </c>
      <c r="C28" s="3" t="s">
        <v>145</v>
      </c>
      <c r="D28" s="3" t="s">
        <v>146</v>
      </c>
      <c r="E28" s="5" t="s">
        <v>28</v>
      </c>
      <c r="F28" s="3" t="s">
        <v>94</v>
      </c>
      <c r="G28" s="3" t="s">
        <v>147</v>
      </c>
      <c r="H28" s="3" t="s">
        <v>96</v>
      </c>
      <c r="I28" s="6" t="s">
        <v>23</v>
      </c>
    </row>
    <row r="29" spans="1:9" ht="54" customHeight="1">
      <c r="A29" s="4" t="s">
        <v>148</v>
      </c>
      <c r="B29" s="3" t="s">
        <v>149</v>
      </c>
      <c r="C29" s="3" t="s">
        <v>150</v>
      </c>
      <c r="D29" s="3" t="s">
        <v>151</v>
      </c>
      <c r="E29" s="5" t="s">
        <v>28</v>
      </c>
      <c r="F29" s="3" t="s">
        <v>94</v>
      </c>
      <c r="G29" s="3" t="s">
        <v>152</v>
      </c>
      <c r="H29" s="3" t="s">
        <v>96</v>
      </c>
      <c r="I29" s="6" t="s">
        <v>23</v>
      </c>
    </row>
    <row r="30" spans="1:9" ht="54" customHeight="1">
      <c r="A30" s="4" t="s">
        <v>153</v>
      </c>
      <c r="B30" s="3" t="s">
        <v>154</v>
      </c>
      <c r="C30" s="3" t="s">
        <v>155</v>
      </c>
      <c r="D30" s="3" t="s">
        <v>156</v>
      </c>
      <c r="E30" s="5" t="s">
        <v>28</v>
      </c>
      <c r="F30" s="3" t="s">
        <v>94</v>
      </c>
      <c r="G30" s="3" t="s">
        <v>157</v>
      </c>
      <c r="H30" s="3" t="s">
        <v>96</v>
      </c>
      <c r="I30" s="6" t="s">
        <v>23</v>
      </c>
    </row>
    <row r="31" spans="1:9" ht="54" customHeight="1">
      <c r="A31" s="4" t="s">
        <v>158</v>
      </c>
      <c r="B31" s="3" t="s">
        <v>159</v>
      </c>
      <c r="C31" s="3" t="s">
        <v>160</v>
      </c>
      <c r="D31" s="3" t="s">
        <v>161</v>
      </c>
      <c r="E31" s="5" t="s">
        <v>28</v>
      </c>
      <c r="F31" s="3" t="s">
        <v>94</v>
      </c>
      <c r="G31" s="3" t="s">
        <v>162</v>
      </c>
      <c r="H31" s="3" t="s">
        <v>96</v>
      </c>
      <c r="I31" s="6" t="s">
        <v>23</v>
      </c>
    </row>
    <row r="32" spans="1:9" ht="54" customHeight="1">
      <c r="A32" s="4" t="s">
        <v>163</v>
      </c>
      <c r="B32" s="3" t="s">
        <v>164</v>
      </c>
      <c r="C32" s="3" t="s">
        <v>165</v>
      </c>
      <c r="D32" s="3" t="s">
        <v>166</v>
      </c>
      <c r="E32" s="5" t="s">
        <v>28</v>
      </c>
      <c r="F32" s="3" t="s">
        <v>87</v>
      </c>
      <c r="G32" s="3" t="s">
        <v>167</v>
      </c>
      <c r="H32" s="3" t="s">
        <v>89</v>
      </c>
      <c r="I32" s="6" t="s">
        <v>23</v>
      </c>
    </row>
    <row r="33" spans="1:9" ht="54" customHeight="1">
      <c r="A33" s="4" t="s">
        <v>168</v>
      </c>
      <c r="B33" s="3" t="s">
        <v>169</v>
      </c>
      <c r="C33" s="3" t="s">
        <v>170</v>
      </c>
      <c r="D33" s="3" t="s">
        <v>171</v>
      </c>
      <c r="E33" s="5" t="s">
        <v>28</v>
      </c>
      <c r="F33" s="3" t="s">
        <v>172</v>
      </c>
      <c r="G33" s="3" t="s">
        <v>173</v>
      </c>
      <c r="H33" s="3" t="s">
        <v>66</v>
      </c>
      <c r="I33" s="6" t="s">
        <v>23</v>
      </c>
    </row>
    <row r="34" spans="1:9" ht="54" customHeight="1">
      <c r="A34" s="4" t="s">
        <v>174</v>
      </c>
      <c r="B34" s="3" t="s">
        <v>175</v>
      </c>
      <c r="C34" s="3" t="s">
        <v>176</v>
      </c>
      <c r="D34" s="3" t="s">
        <v>177</v>
      </c>
      <c r="E34" s="5" t="s">
        <v>28</v>
      </c>
      <c r="F34" s="3" t="s">
        <v>20</v>
      </c>
      <c r="G34" s="3" t="s">
        <v>178</v>
      </c>
      <c r="H34" s="3" t="s">
        <v>31</v>
      </c>
      <c r="I34" s="6" t="s">
        <v>23</v>
      </c>
    </row>
  </sheetData>
  <mergeCells count="2">
    <mergeCell ref="A1:I1"/>
    <mergeCell ref="A2:I2"/>
  </mergeCells>
  <conditionalFormatting sqref="I6:I34">
    <cfRule type="expression" dxfId="3" priority="1">
      <formula>I6="Passed"</formula>
    </cfRule>
    <cfRule type="expression" dxfId="2" priority="2">
      <formula>I6="Failed"</formula>
    </cfRule>
    <cfRule type="expression" dxfId="1" priority="3">
      <formula>I6="Blocked"</formula>
    </cfRule>
    <cfRule type="expression" dxfId="0" priority="4">
      <formula>I6="In progress"</formula>
    </cfRule>
  </conditionalFormatting>
  <dataValidations count="1">
    <dataValidation type="list" sqref="I6:I34" xr:uid="{00000000-0002-0000-0000-000000000000}">
      <formula1>"Not started,In progress,Passed,Failed,Blocked"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W37-W65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Agarwal</cp:lastModifiedBy>
  <dcterms:modified xsi:type="dcterms:W3CDTF">2026-10-15T07:33:30Z</dcterms:modified>
</cp:coreProperties>
</file>