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ynikaTech\memgine\docs\"/>
    </mc:Choice>
  </mc:AlternateContent>
  <xr:revisionPtr revIDLastSave="0" documentId="8_{87EBFEBC-3006-4172-A0BC-45871CAFADB2}" xr6:coauthVersionLast="47" xr6:coauthVersionMax="47" xr10:uidLastSave="{00000000-0000-0000-0000-000000000000}"/>
  <bookViews>
    <workbookView xWindow="-120" yWindow="-120" windowWidth="29040" windowHeight="15720" xr2:uid="{296B55BA-C63C-41FD-A9F1-B8085602E620}"/>
  </bookViews>
  <sheets>
    <sheet name="OSC_2026-08-30" sheetId="1" r:id="rId1"/>
  </sheets>
  <calcPr calcId="0"/>
</workbook>
</file>

<file path=xl/calcChain.xml><?xml version="1.0" encoding="utf-8"?>
<calcChain xmlns="http://schemas.openxmlformats.org/spreadsheetml/2006/main">
  <c r="A66" i="1" l="1"/>
  <c r="B66" i="1"/>
  <c r="C66" i="1"/>
  <c r="A67" i="1"/>
  <c r="B67" i="1"/>
  <c r="C67" i="1"/>
  <c r="A68" i="1"/>
  <c r="B68" i="1"/>
  <c r="C68" i="1"/>
  <c r="A69" i="1"/>
  <c r="B69" i="1"/>
  <c r="C69" i="1"/>
  <c r="C82" i="1"/>
</calcChain>
</file>

<file path=xl/sharedStrings.xml><?xml version="1.0" encoding="utf-8"?>
<sst xmlns="http://schemas.openxmlformats.org/spreadsheetml/2006/main" count="677" uniqueCount="342">
  <si>
    <t>shortCode</t>
  </si>
  <si>
    <t>name</t>
  </si>
  <si>
    <t>sku</t>
  </si>
  <si>
    <t>upc</t>
  </si>
  <si>
    <t>price</t>
  </si>
  <si>
    <t>catalog</t>
  </si>
  <si>
    <t>category</t>
  </si>
  <si>
    <t>mod1.name</t>
  </si>
  <si>
    <t>mod1.selectionType</t>
  </si>
  <si>
    <t>mod1.value1.name</t>
  </si>
  <si>
    <t>mod1.value1.priceDelta</t>
  </si>
  <si>
    <t>mod1.value2.name</t>
  </si>
  <si>
    <t>mod1.value2.priceDelta</t>
  </si>
  <si>
    <t>mod1.value3.name</t>
  </si>
  <si>
    <t>mod1.value3.priceDelta</t>
  </si>
  <si>
    <t>mod2.name</t>
  </si>
  <si>
    <t>mod2.selectionType</t>
  </si>
  <si>
    <t>mod2.value1.name</t>
  </si>
  <si>
    <t>mod2.value1.priceDelta</t>
  </si>
  <si>
    <t>mod2.value2.name</t>
  </si>
  <si>
    <t>mod2.value2.priceDelta</t>
  </si>
  <si>
    <t>mod2.value3.name</t>
  </si>
  <si>
    <t>mod2.value3.priceDelta</t>
  </si>
  <si>
    <t>THUMB</t>
  </si>
  <si>
    <t>thumbprint cookies</t>
  </si>
  <si>
    <t>THMBPRNT-CKS</t>
  </si>
  <si>
    <t>OSC</t>
  </si>
  <si>
    <t>PECAN</t>
  </si>
  <si>
    <t>pecan tart</t>
  </si>
  <si>
    <t>PCN-TRT</t>
  </si>
  <si>
    <t>BUTTE</t>
  </si>
  <si>
    <t>butter tart</t>
  </si>
  <si>
    <t>BTTR-TRT</t>
  </si>
  <si>
    <t>SAMOS</t>
  </si>
  <si>
    <t>samosas</t>
  </si>
  <si>
    <t>SMSS</t>
  </si>
  <si>
    <t>MUFFI</t>
  </si>
  <si>
    <t>muffins</t>
  </si>
  <si>
    <t>MFFNS</t>
  </si>
  <si>
    <t xml:space="preserve">RICR </t>
  </si>
  <si>
    <t>Ricr crispy</t>
  </si>
  <si>
    <t>RCR-CRSPY</t>
  </si>
  <si>
    <t>EGGPL</t>
  </si>
  <si>
    <t>Eggplant Shakshouka buns</t>
  </si>
  <si>
    <t>GGPLNT-SHKSHK-BNS</t>
  </si>
  <si>
    <t>KEY L</t>
  </si>
  <si>
    <t>Key Lime</t>
  </si>
  <si>
    <t>KY-LM</t>
  </si>
  <si>
    <t>CROIS</t>
  </si>
  <si>
    <t>Cheese Croissant</t>
  </si>
  <si>
    <t>CRSSNT</t>
  </si>
  <si>
    <t>DECOR</t>
  </si>
  <si>
    <t>Decorated individual cookies</t>
  </si>
  <si>
    <t>DCRTD-NDVDL-CKS</t>
  </si>
  <si>
    <t>ðŸª</t>
  </si>
  <si>
    <t>box cookies</t>
  </si>
  <si>
    <t>SGR-CKS</t>
  </si>
  <si>
    <t>BIG C</t>
  </si>
  <si>
    <t>Big cookies</t>
  </si>
  <si>
    <t>BG-CKS</t>
  </si>
  <si>
    <t>â˜•ï¸</t>
  </si>
  <si>
    <t>Drip coffee</t>
  </si>
  <si>
    <t>DRP-CFF</t>
  </si>
  <si>
    <t>COFFEE</t>
  </si>
  <si>
    <t>drip coffee</t>
  </si>
  <si>
    <t>SINGLE</t>
  </si>
  <si>
    <t>small</t>
  </si>
  <si>
    <t>medium</t>
  </si>
  <si>
    <t>large</t>
  </si>
  <si>
    <t>ðŸµ</t>
  </si>
  <si>
    <t>Tea</t>
  </si>
  <si>
    <t>T</t>
  </si>
  <si>
    <t>size</t>
  </si>
  <si>
    <t>AMERICANO</t>
  </si>
  <si>
    <t>MRCN</t>
  </si>
  <si>
    <t>espresso</t>
  </si>
  <si>
    <t>SPRSS</t>
  </si>
  <si>
    <t>latte</t>
  </si>
  <si>
    <t>LTT</t>
  </si>
  <si>
    <t>cappucino</t>
  </si>
  <si>
    <t>CPPCN</t>
  </si>
  <si>
    <t>caramel macchiato</t>
  </si>
  <si>
    <t>CRML-MCCHT</t>
  </si>
  <si>
    <t>cortado</t>
  </si>
  <si>
    <t>CRTD</t>
  </si>
  <si>
    <t>chai latte</t>
  </si>
  <si>
    <t>CH-LTT</t>
  </si>
  <si>
    <t>flat white</t>
  </si>
  <si>
    <t>FLT-WHT</t>
  </si>
  <si>
    <t>mocha</t>
  </si>
  <si>
    <t>MCH</t>
  </si>
  <si>
    <t>hot chocolate</t>
  </si>
  <si>
    <t>HT-CHCLT</t>
  </si>
  <si>
    <t>machhiato</t>
  </si>
  <si>
    <t>MCHHT</t>
  </si>
  <si>
    <t>london fog</t>
  </si>
  <si>
    <t>LNDN-FG</t>
  </si>
  <si>
    <t>matcha latte</t>
  </si>
  <si>
    <t>MTCH-LTT</t>
  </si>
  <si>
    <t>MASAL</t>
  </si>
  <si>
    <t>masala chai</t>
  </si>
  <si>
    <t>MSL-CH</t>
  </si>
  <si>
    <t>COFFE</t>
  </si>
  <si>
    <t>Coffee</t>
  </si>
  <si>
    <t>CFF</t>
  </si>
  <si>
    <t xml:space="preserve">CHOC </t>
  </si>
  <si>
    <t>choc chunk</t>
  </si>
  <si>
    <t>CHC-CHNK</t>
  </si>
  <si>
    <t>Cookies</t>
  </si>
  <si>
    <t>SMART</t>
  </si>
  <si>
    <t>smartie</t>
  </si>
  <si>
    <t>SMRT</t>
  </si>
  <si>
    <t>M&amp;M</t>
  </si>
  <si>
    <t>MM</t>
  </si>
  <si>
    <t>GINGE</t>
  </si>
  <si>
    <t>ginger</t>
  </si>
  <si>
    <t>GNGR</t>
  </si>
  <si>
    <t>SHORT</t>
  </si>
  <si>
    <t>shortbread</t>
  </si>
  <si>
    <t>SHRTBRD</t>
  </si>
  <si>
    <t>MARS</t>
  </si>
  <si>
    <t>Mars Cookies</t>
  </si>
  <si>
    <t>OATME</t>
  </si>
  <si>
    <t>Oatmeal Raisin</t>
  </si>
  <si>
    <t>OAT</t>
  </si>
  <si>
    <t>TRIPL</t>
  </si>
  <si>
    <t>Triple Chocolate</t>
  </si>
  <si>
    <t>TRPL</t>
  </si>
  <si>
    <t>OREO</t>
  </si>
  <si>
    <t>Oreo</t>
  </si>
  <si>
    <t>R</t>
  </si>
  <si>
    <t>Coffee Crisp</t>
  </si>
  <si>
    <t>CFF-CRSP</t>
  </si>
  <si>
    <t>CRUNC</t>
  </si>
  <si>
    <t>Crunchy</t>
  </si>
  <si>
    <t>CRNCHY</t>
  </si>
  <si>
    <t>TRAIL</t>
  </si>
  <si>
    <t>Trail Mix Cookie</t>
  </si>
  <si>
    <t>TUXED</t>
  </si>
  <si>
    <t>tuxedo</t>
  </si>
  <si>
    <t>TXD</t>
  </si>
  <si>
    <t>NUTEL</t>
  </si>
  <si>
    <t>Nutella Chip</t>
  </si>
  <si>
    <t>NTLL-CHP</t>
  </si>
  <si>
    <t>GF BO</t>
  </si>
  <si>
    <t>GF Box decorated</t>
  </si>
  <si>
    <t>GF-BX-DCRTD</t>
  </si>
  <si>
    <t>BOX D</t>
  </si>
  <si>
    <t>Box decorated</t>
  </si>
  <si>
    <t>BX-DCRTD</t>
  </si>
  <si>
    <t>MATCH</t>
  </si>
  <si>
    <t>Matcha Cookie</t>
  </si>
  <si>
    <t>MTCH-CK</t>
  </si>
  <si>
    <t>4 PIE</t>
  </si>
  <si>
    <t>4 pieces Box cookies</t>
  </si>
  <si>
    <t>4-PCS-BX-CKS</t>
  </si>
  <si>
    <t>ALMON</t>
  </si>
  <si>
    <t>Almond</t>
  </si>
  <si>
    <t>LMND</t>
  </si>
  <si>
    <t>Biscotti's</t>
  </si>
  <si>
    <t>CRANB</t>
  </si>
  <si>
    <t>Cranberry</t>
  </si>
  <si>
    <t>CRNBRRY</t>
  </si>
  <si>
    <t>CHOCO</t>
  </si>
  <si>
    <t>CHCLT</t>
  </si>
  <si>
    <t>SKOR</t>
  </si>
  <si>
    <t>Skor</t>
  </si>
  <si>
    <t>SKR</t>
  </si>
  <si>
    <t>ðŸ¦</t>
  </si>
  <si>
    <t>single scoop</t>
  </si>
  <si>
    <t>SNGL-SCP</t>
  </si>
  <si>
    <t>ice cream</t>
  </si>
  <si>
    <t>DOUBL</t>
  </si>
  <si>
    <t>double scoop</t>
  </si>
  <si>
    <t>DBL-SCP</t>
  </si>
  <si>
    <t>WAFFL</t>
  </si>
  <si>
    <t>waffle</t>
  </si>
  <si>
    <t>WFFL</t>
  </si>
  <si>
    <t>BERRY</t>
  </si>
  <si>
    <t>berry bliss</t>
  </si>
  <si>
    <t>BRRY-BLSS</t>
  </si>
  <si>
    <t>smoothies</t>
  </si>
  <si>
    <t>triple berry blast</t>
  </si>
  <si>
    <t>TRPL-BRRY-BLST</t>
  </si>
  <si>
    <t>STRAW</t>
  </si>
  <si>
    <t>strawberry blast</t>
  </si>
  <si>
    <t>STRWBRRY-BLST</t>
  </si>
  <si>
    <t>TROPI</t>
  </si>
  <si>
    <t>tropical sunrise</t>
  </si>
  <si>
    <t>TRPCL-SNRS</t>
  </si>
  <si>
    <t>ISLAN</t>
  </si>
  <si>
    <t>island glow</t>
  </si>
  <si>
    <t>SLND-GLW</t>
  </si>
  <si>
    <t>GOLDE</t>
  </si>
  <si>
    <t>golden wave</t>
  </si>
  <si>
    <t>GLDN-WV</t>
  </si>
  <si>
    <t>GREEN</t>
  </si>
  <si>
    <t>green goddess</t>
  </si>
  <si>
    <t>GRN-GDDSS</t>
  </si>
  <si>
    <t>berry green boost</t>
  </si>
  <si>
    <t>BRRY-GRN-BST</t>
  </si>
  <si>
    <t>tropical green cleanse</t>
  </si>
  <si>
    <t>TRPCL-GRN-CLNS</t>
  </si>
  <si>
    <t>POP</t>
  </si>
  <si>
    <t>pop</t>
  </si>
  <si>
    <t>PP</t>
  </si>
  <si>
    <t>beverages</t>
  </si>
  <si>
    <t>BOTTL</t>
  </si>
  <si>
    <t>bottled water</t>
  </si>
  <si>
    <t>BTTLD-WTR</t>
  </si>
  <si>
    <t>PELLE</t>
  </si>
  <si>
    <t>pellegrino</t>
  </si>
  <si>
    <t>PLLGRN</t>
  </si>
  <si>
    <t>APRIC</t>
  </si>
  <si>
    <t>apricot</t>
  </si>
  <si>
    <t>PRCT</t>
  </si>
  <si>
    <t>Danish pastries</t>
  </si>
  <si>
    <t>RASPB</t>
  </si>
  <si>
    <t>raspberry</t>
  </si>
  <si>
    <t>RSPBRRY</t>
  </si>
  <si>
    <t>AVACA</t>
  </si>
  <si>
    <t>AVACADO SANDWICH</t>
  </si>
  <si>
    <t>VCD-SNDWCH</t>
  </si>
  <si>
    <t>Sandwiches</t>
  </si>
  <si>
    <t>Croissant Sandwich</t>
  </si>
  <si>
    <t>CRSSNT-SNDWCH</t>
  </si>
  <si>
    <t>EGG S</t>
  </si>
  <si>
    <t>EGG SANDWICH</t>
  </si>
  <si>
    <t>GG-SNDWCH</t>
  </si>
  <si>
    <t>GRILL</t>
  </si>
  <si>
    <t>Grilled Cheese</t>
  </si>
  <si>
    <t>GRLLD-CHS</t>
  </si>
  <si>
    <t>RANCH</t>
  </si>
  <si>
    <t>ranch chicken</t>
  </si>
  <si>
    <t>RNCH-CHCKN</t>
  </si>
  <si>
    <t>BUFFL</t>
  </si>
  <si>
    <t>bufflo chicken</t>
  </si>
  <si>
    <t>BFFL-CHCKN</t>
  </si>
  <si>
    <t>egg salad</t>
  </si>
  <si>
    <t>GG-SLD</t>
  </si>
  <si>
    <t>salad</t>
  </si>
  <si>
    <t>Ã— 4 S</t>
  </si>
  <si>
    <t>Ã— 4 Scones</t>
  </si>
  <si>
    <t>Sale Items</t>
  </si>
  <si>
    <t>SPECI</t>
  </si>
  <si>
    <t>Special Shortbread</t>
  </si>
  <si>
    <t>SPCL-SHRTBRD</t>
  </si>
  <si>
    <t>LEMON</t>
  </si>
  <si>
    <t>Lemon Cake</t>
  </si>
  <si>
    <t>LMN-CK</t>
  </si>
  <si>
    <t>LOAFS</t>
  </si>
  <si>
    <t>BANAN</t>
  </si>
  <si>
    <t>Banana Bread</t>
  </si>
  <si>
    <t>BNN-BRD</t>
  </si>
  <si>
    <t>Banana Chocolate</t>
  </si>
  <si>
    <t>BNN-CHCLT</t>
  </si>
  <si>
    <t>CARRO</t>
  </si>
  <si>
    <t>Carrot Cake</t>
  </si>
  <si>
    <t>CRRT-CK</t>
  </si>
  <si>
    <t>PUMPK</t>
  </si>
  <si>
    <t>Pumpkin walnut</t>
  </si>
  <si>
    <t>PMPKN-WLNT</t>
  </si>
  <si>
    <t>MINI</t>
  </si>
  <si>
    <t>mini</t>
  </si>
  <si>
    <t>MN</t>
  </si>
  <si>
    <t>scones</t>
  </si>
  <si>
    <t>CHEES</t>
  </si>
  <si>
    <t>cheese</t>
  </si>
  <si>
    <t>CHS</t>
  </si>
  <si>
    <t>BLEBE</t>
  </si>
  <si>
    <t>bleberry</t>
  </si>
  <si>
    <t>BLBRRY</t>
  </si>
  <si>
    <t>cranberry</t>
  </si>
  <si>
    <t>VEGSC</t>
  </si>
  <si>
    <t>Vegetable Savory Scones</t>
  </si>
  <si>
    <t>VEGSCO</t>
  </si>
  <si>
    <t>Chocolate Scones</t>
  </si>
  <si>
    <t>CHCLT-SCNS</t>
  </si>
  <si>
    <t xml:space="preserve">PACK </t>
  </si>
  <si>
    <t>Pack Ã—4</t>
  </si>
  <si>
    <t>PCK-4</t>
  </si>
  <si>
    <t>WATER</t>
  </si>
  <si>
    <t>Water</t>
  </si>
  <si>
    <t>WTR</t>
  </si>
  <si>
    <t>DRINKS</t>
  </si>
  <si>
    <t>POP S</t>
  </si>
  <si>
    <t>Pop Sprite</t>
  </si>
  <si>
    <t>PP-SPRT</t>
  </si>
  <si>
    <t>POP C</t>
  </si>
  <si>
    <t>Pop Coke</t>
  </si>
  <si>
    <t>PP-CK</t>
  </si>
  <si>
    <t>MONST</t>
  </si>
  <si>
    <t>Monster Energy</t>
  </si>
  <si>
    <t>MNSTR-NRGY</t>
  </si>
  <si>
    <t>GATOR</t>
  </si>
  <si>
    <t>gatorade</t>
  </si>
  <si>
    <t>GTRD</t>
  </si>
  <si>
    <t xml:space="preserve">MILK </t>
  </si>
  <si>
    <t>Milk Shake</t>
  </si>
  <si>
    <t>MLK-SHK-LRG</t>
  </si>
  <si>
    <t>Regular</t>
  </si>
  <si>
    <t>APPLE</t>
  </si>
  <si>
    <t>Apple Date</t>
  </si>
  <si>
    <t>PPL-DT</t>
  </si>
  <si>
    <t>Squares</t>
  </si>
  <si>
    <t>BLUEB</t>
  </si>
  <si>
    <t>Blueberry Cheesecake</t>
  </si>
  <si>
    <t>BLBRRY-CHSCK</t>
  </si>
  <si>
    <t>BROWN</t>
  </si>
  <si>
    <t>Brownie</t>
  </si>
  <si>
    <t>BRWN</t>
  </si>
  <si>
    <t>CHERR</t>
  </si>
  <si>
    <t>Cherry cheesecake</t>
  </si>
  <si>
    <t>CHRRY-CHSCK</t>
  </si>
  <si>
    <t>CHSBR</t>
  </si>
  <si>
    <t>CHSBROW</t>
  </si>
  <si>
    <t>CHSBRW</t>
  </si>
  <si>
    <t>DATE</t>
  </si>
  <si>
    <t>Date</t>
  </si>
  <si>
    <t>DT</t>
  </si>
  <si>
    <t>LC</t>
  </si>
  <si>
    <t>Lemon Cranberry Loaf</t>
  </si>
  <si>
    <t>LCR</t>
  </si>
  <si>
    <t>Pecan</t>
  </si>
  <si>
    <t>PCN</t>
  </si>
  <si>
    <t>WHITE</t>
  </si>
  <si>
    <t>White Brownie</t>
  </si>
  <si>
    <t>WHT-BRWN</t>
  </si>
  <si>
    <t>Decorated individual</t>
  </si>
  <si>
    <t>DCRTD-NDVDL</t>
  </si>
  <si>
    <t>Mad Batter</t>
  </si>
  <si>
    <t>TOMAT</t>
  </si>
  <si>
    <t>tomato</t>
  </si>
  <si>
    <t>TMT</t>
  </si>
  <si>
    <t>soup</t>
  </si>
  <si>
    <t>CREAM</t>
  </si>
  <si>
    <t>creamy veggie soup</t>
  </si>
  <si>
    <t>CRMY-VGG-SP</t>
  </si>
  <si>
    <t>CAESA</t>
  </si>
  <si>
    <t>caesae chicken</t>
  </si>
  <si>
    <t>CS-CHCKN</t>
  </si>
  <si>
    <t>wrap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</si>
</sst>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FC3F-3D48-4595-80E0-2FFFACDA1260}">
  <dimension ref="A1:W119"/>
  <sheetViews>
    <sheetView tabSelected="1" workbookViewId="0">
      <selection activeCell="S26" sqref="S26"/>
    </sheetView>
  </sheetViews>
  <sheetFormatPr defaultRowHeight="15" x14ac:dyDescent="0.25"/>
  <cols>
    <col min="1" max="1" width="25.28515625" customWidth="1"/>
    <col min="2" max="2" width="39.42578125" customWidth="1"/>
    <col min="3" max="3" width="20.1406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5">
      <c r="A2" t="s">
        <v>23</v>
      </c>
      <c r="B2" t="s">
        <v>24</v>
      </c>
      <c r="C2" t="s">
        <v>25</v>
      </c>
      <c r="E2">
        <v>3.5</v>
      </c>
      <c r="F2" t="s">
        <v>26</v>
      </c>
    </row>
    <row r="3" spans="1:23" x14ac:dyDescent="0.25">
      <c r="A3" t="s">
        <v>27</v>
      </c>
      <c r="B3" t="s">
        <v>28</v>
      </c>
      <c r="C3" t="s">
        <v>29</v>
      </c>
      <c r="E3">
        <v>3.2</v>
      </c>
      <c r="F3" t="s">
        <v>26</v>
      </c>
    </row>
    <row r="4" spans="1:23" x14ac:dyDescent="0.25">
      <c r="A4" t="s">
        <v>30</v>
      </c>
      <c r="B4" t="s">
        <v>31</v>
      </c>
      <c r="C4" t="s">
        <v>32</v>
      </c>
      <c r="E4">
        <v>3.2</v>
      </c>
      <c r="F4" t="s">
        <v>26</v>
      </c>
    </row>
    <row r="5" spans="1:23" x14ac:dyDescent="0.25">
      <c r="A5" t="s">
        <v>33</v>
      </c>
      <c r="B5" t="s">
        <v>34</v>
      </c>
      <c r="C5" t="s">
        <v>35</v>
      </c>
      <c r="E5">
        <v>2</v>
      </c>
      <c r="F5" t="s">
        <v>26</v>
      </c>
    </row>
    <row r="6" spans="1:23" x14ac:dyDescent="0.25">
      <c r="A6" t="s">
        <v>36</v>
      </c>
      <c r="B6" t="s">
        <v>37</v>
      </c>
      <c r="C6" t="s">
        <v>38</v>
      </c>
      <c r="E6">
        <v>3.49</v>
      </c>
      <c r="F6" t="s">
        <v>26</v>
      </c>
    </row>
    <row r="7" spans="1:23" x14ac:dyDescent="0.25">
      <c r="A7" t="s">
        <v>39</v>
      </c>
      <c r="B7" t="s">
        <v>40</v>
      </c>
      <c r="C7" t="s">
        <v>41</v>
      </c>
      <c r="E7">
        <v>4</v>
      </c>
      <c r="F7" t="s">
        <v>26</v>
      </c>
    </row>
    <row r="8" spans="1:23" x14ac:dyDescent="0.25">
      <c r="A8" t="s">
        <v>42</v>
      </c>
      <c r="B8" t="s">
        <v>43</v>
      </c>
      <c r="C8" t="s">
        <v>44</v>
      </c>
      <c r="E8">
        <v>4.5</v>
      </c>
      <c r="F8" t="s">
        <v>26</v>
      </c>
    </row>
    <row r="9" spans="1:23" x14ac:dyDescent="0.25">
      <c r="A9" t="s">
        <v>45</v>
      </c>
      <c r="B9" t="s">
        <v>46</v>
      </c>
      <c r="C9" t="s">
        <v>47</v>
      </c>
      <c r="E9">
        <v>6.5</v>
      </c>
      <c r="F9" t="s">
        <v>26</v>
      </c>
    </row>
    <row r="10" spans="1:23" x14ac:dyDescent="0.25">
      <c r="A10" t="s">
        <v>48</v>
      </c>
      <c r="B10" t="s">
        <v>49</v>
      </c>
      <c r="C10" t="s">
        <v>50</v>
      </c>
      <c r="E10">
        <v>2.99</v>
      </c>
      <c r="F10" t="s">
        <v>26</v>
      </c>
    </row>
    <row r="11" spans="1:23" x14ac:dyDescent="0.25">
      <c r="A11" t="s">
        <v>51</v>
      </c>
      <c r="B11" t="s">
        <v>52</v>
      </c>
      <c r="C11" t="s">
        <v>53</v>
      </c>
      <c r="E11">
        <v>6</v>
      </c>
      <c r="F11" t="s">
        <v>26</v>
      </c>
    </row>
    <row r="12" spans="1:23" x14ac:dyDescent="0.25">
      <c r="A12" t="s">
        <v>54</v>
      </c>
      <c r="B12" t="s">
        <v>55</v>
      </c>
      <c r="C12" t="s">
        <v>56</v>
      </c>
      <c r="E12">
        <v>10.99</v>
      </c>
      <c r="F12" t="s">
        <v>26</v>
      </c>
    </row>
    <row r="13" spans="1:23" x14ac:dyDescent="0.25">
      <c r="A13" t="s">
        <v>57</v>
      </c>
      <c r="B13" t="s">
        <v>58</v>
      </c>
      <c r="C13" t="s">
        <v>59</v>
      </c>
      <c r="E13">
        <v>5.99</v>
      </c>
      <c r="F13" t="s">
        <v>26</v>
      </c>
    </row>
    <row r="14" spans="1:23" x14ac:dyDescent="0.25">
      <c r="A14" t="s">
        <v>60</v>
      </c>
      <c r="B14" t="s">
        <v>61</v>
      </c>
      <c r="C14" t="s">
        <v>62</v>
      </c>
      <c r="E14">
        <v>0</v>
      </c>
      <c r="F14" t="s">
        <v>26</v>
      </c>
      <c r="G14" t="s">
        <v>63</v>
      </c>
      <c r="H14" t="s">
        <v>64</v>
      </c>
      <c r="I14" t="s">
        <v>65</v>
      </c>
      <c r="J14" t="s">
        <v>66</v>
      </c>
      <c r="K14">
        <v>2.5</v>
      </c>
      <c r="L14" t="s">
        <v>67</v>
      </c>
      <c r="M14">
        <v>2.8</v>
      </c>
      <c r="N14" t="s">
        <v>68</v>
      </c>
      <c r="O14">
        <v>3.1</v>
      </c>
    </row>
    <row r="15" spans="1:23" x14ac:dyDescent="0.25">
      <c r="A15" t="s">
        <v>69</v>
      </c>
      <c r="B15" t="s">
        <v>70</v>
      </c>
      <c r="C15" t="s">
        <v>71</v>
      </c>
      <c r="E15">
        <v>0</v>
      </c>
      <c r="F15" t="s">
        <v>26</v>
      </c>
      <c r="G15" t="s">
        <v>63</v>
      </c>
      <c r="H15" t="s">
        <v>72</v>
      </c>
      <c r="I15" t="s">
        <v>65</v>
      </c>
      <c r="J15" t="s">
        <v>66</v>
      </c>
      <c r="K15">
        <v>2.75</v>
      </c>
      <c r="L15" t="s">
        <v>67</v>
      </c>
      <c r="M15">
        <v>3</v>
      </c>
      <c r="N15" t="s">
        <v>68</v>
      </c>
      <c r="O15">
        <v>3.25</v>
      </c>
      <c r="P15" t="s">
        <v>72</v>
      </c>
      <c r="Q15" t="s">
        <v>65</v>
      </c>
      <c r="R15" t="s">
        <v>66</v>
      </c>
      <c r="S15">
        <v>2.75</v>
      </c>
      <c r="T15" t="s">
        <v>67</v>
      </c>
      <c r="U15">
        <v>3</v>
      </c>
      <c r="V15" t="s">
        <v>68</v>
      </c>
      <c r="W15">
        <v>3.25</v>
      </c>
    </row>
    <row r="16" spans="1:23" x14ac:dyDescent="0.25">
      <c r="A16" t="s">
        <v>60</v>
      </c>
      <c r="B16" t="s">
        <v>73</v>
      </c>
      <c r="C16" t="s">
        <v>74</v>
      </c>
      <c r="E16">
        <v>0</v>
      </c>
      <c r="F16" t="s">
        <v>26</v>
      </c>
      <c r="G16" t="s">
        <v>63</v>
      </c>
      <c r="H16" t="s">
        <v>72</v>
      </c>
      <c r="I16" t="s">
        <v>65</v>
      </c>
      <c r="J16" t="s">
        <v>66</v>
      </c>
      <c r="K16">
        <v>3.25</v>
      </c>
      <c r="L16" t="s">
        <v>67</v>
      </c>
      <c r="M16">
        <v>3.5</v>
      </c>
      <c r="N16" t="s">
        <v>68</v>
      </c>
      <c r="O16">
        <v>4</v>
      </c>
    </row>
    <row r="17" spans="1:15" x14ac:dyDescent="0.25">
      <c r="A17" t="s">
        <v>60</v>
      </c>
      <c r="B17" t="s">
        <v>75</v>
      </c>
      <c r="C17" t="s">
        <v>76</v>
      </c>
      <c r="E17">
        <v>2.1</v>
      </c>
      <c r="F17" t="s">
        <v>26</v>
      </c>
      <c r="G17" t="s">
        <v>63</v>
      </c>
    </row>
    <row r="18" spans="1:15" x14ac:dyDescent="0.25">
      <c r="A18" t="s">
        <v>60</v>
      </c>
      <c r="B18" t="s">
        <v>77</v>
      </c>
      <c r="C18" t="s">
        <v>78</v>
      </c>
      <c r="E18">
        <v>0</v>
      </c>
      <c r="F18" t="s">
        <v>26</v>
      </c>
      <c r="G18" t="s">
        <v>63</v>
      </c>
      <c r="H18" t="s">
        <v>72</v>
      </c>
      <c r="I18" t="s">
        <v>65</v>
      </c>
      <c r="J18" t="s">
        <v>66</v>
      </c>
      <c r="K18">
        <v>3.25</v>
      </c>
      <c r="L18" t="s">
        <v>67</v>
      </c>
      <c r="M18">
        <v>3.75</v>
      </c>
      <c r="N18" t="s">
        <v>68</v>
      </c>
      <c r="O18">
        <v>4.25</v>
      </c>
    </row>
    <row r="19" spans="1:15" x14ac:dyDescent="0.25">
      <c r="A19" t="s">
        <v>60</v>
      </c>
      <c r="B19" t="s">
        <v>79</v>
      </c>
      <c r="C19" t="s">
        <v>80</v>
      </c>
      <c r="E19">
        <v>0</v>
      </c>
      <c r="F19" t="s">
        <v>26</v>
      </c>
      <c r="G19" t="s">
        <v>63</v>
      </c>
      <c r="H19" t="s">
        <v>72</v>
      </c>
      <c r="I19" t="s">
        <v>65</v>
      </c>
      <c r="J19" t="s">
        <v>66</v>
      </c>
      <c r="K19">
        <v>3.25</v>
      </c>
      <c r="L19" t="s">
        <v>67</v>
      </c>
      <c r="M19">
        <v>3.75</v>
      </c>
      <c r="N19" t="s">
        <v>68</v>
      </c>
      <c r="O19">
        <v>4.25</v>
      </c>
    </row>
    <row r="20" spans="1:15" x14ac:dyDescent="0.25">
      <c r="A20" t="s">
        <v>60</v>
      </c>
      <c r="B20" t="s">
        <v>81</v>
      </c>
      <c r="C20" t="s">
        <v>82</v>
      </c>
      <c r="E20">
        <v>0</v>
      </c>
      <c r="F20" t="s">
        <v>26</v>
      </c>
      <c r="G20" t="s">
        <v>63</v>
      </c>
      <c r="H20" t="s">
        <v>72</v>
      </c>
      <c r="I20" t="s">
        <v>65</v>
      </c>
      <c r="J20" t="s">
        <v>66</v>
      </c>
      <c r="K20">
        <v>4.5</v>
      </c>
      <c r="L20" t="s">
        <v>67</v>
      </c>
      <c r="M20">
        <v>5</v>
      </c>
      <c r="N20" t="s">
        <v>68</v>
      </c>
      <c r="O20">
        <v>5.5</v>
      </c>
    </row>
    <row r="21" spans="1:15" x14ac:dyDescent="0.25">
      <c r="A21" t="s">
        <v>60</v>
      </c>
      <c r="B21" t="s">
        <v>83</v>
      </c>
      <c r="C21" t="s">
        <v>84</v>
      </c>
      <c r="E21">
        <v>0</v>
      </c>
      <c r="F21" t="s">
        <v>26</v>
      </c>
      <c r="G21" t="s">
        <v>63</v>
      </c>
      <c r="H21" t="s">
        <v>72</v>
      </c>
      <c r="I21" t="s">
        <v>65</v>
      </c>
      <c r="J21" t="s">
        <v>66</v>
      </c>
      <c r="K21">
        <v>3.5</v>
      </c>
      <c r="L21" t="s">
        <v>67</v>
      </c>
      <c r="M21">
        <v>3.89</v>
      </c>
      <c r="N21" t="s">
        <v>68</v>
      </c>
      <c r="O21">
        <v>4.1900000000000004</v>
      </c>
    </row>
    <row r="22" spans="1:15" x14ac:dyDescent="0.25">
      <c r="A22" t="s">
        <v>60</v>
      </c>
      <c r="B22" t="s">
        <v>85</v>
      </c>
      <c r="C22" t="s">
        <v>86</v>
      </c>
      <c r="E22">
        <v>0</v>
      </c>
      <c r="F22" t="s">
        <v>26</v>
      </c>
      <c r="G22" t="s">
        <v>63</v>
      </c>
      <c r="H22" t="s">
        <v>72</v>
      </c>
      <c r="I22" t="s">
        <v>65</v>
      </c>
      <c r="J22" t="s">
        <v>66</v>
      </c>
      <c r="K22">
        <v>3.75</v>
      </c>
      <c r="L22" t="s">
        <v>67</v>
      </c>
      <c r="M22">
        <v>4.0999999999999996</v>
      </c>
      <c r="N22" t="s">
        <v>68</v>
      </c>
      <c r="O22">
        <v>4.5</v>
      </c>
    </row>
    <row r="23" spans="1:15" x14ac:dyDescent="0.25">
      <c r="A23" t="s">
        <v>60</v>
      </c>
      <c r="B23" t="s">
        <v>87</v>
      </c>
      <c r="C23" t="s">
        <v>88</v>
      </c>
      <c r="E23">
        <v>0</v>
      </c>
      <c r="F23" t="s">
        <v>26</v>
      </c>
      <c r="G23" t="s">
        <v>63</v>
      </c>
      <c r="H23" t="s">
        <v>72</v>
      </c>
      <c r="I23" t="s">
        <v>65</v>
      </c>
      <c r="J23" t="s">
        <v>66</v>
      </c>
      <c r="K23">
        <v>3.25</v>
      </c>
      <c r="L23" t="s">
        <v>67</v>
      </c>
      <c r="M23">
        <v>3.5</v>
      </c>
      <c r="N23" t="s">
        <v>68</v>
      </c>
      <c r="O23">
        <v>4</v>
      </c>
    </row>
    <row r="24" spans="1:15" x14ac:dyDescent="0.25">
      <c r="A24" t="s">
        <v>60</v>
      </c>
      <c r="B24" t="s">
        <v>89</v>
      </c>
      <c r="C24" t="s">
        <v>90</v>
      </c>
      <c r="E24">
        <v>0</v>
      </c>
      <c r="F24" t="s">
        <v>26</v>
      </c>
      <c r="G24" t="s">
        <v>63</v>
      </c>
      <c r="H24" t="s">
        <v>72</v>
      </c>
      <c r="I24" t="s">
        <v>65</v>
      </c>
      <c r="J24" t="s">
        <v>66</v>
      </c>
      <c r="K24">
        <v>4.0999999999999996</v>
      </c>
      <c r="L24" t="s">
        <v>67</v>
      </c>
      <c r="M24">
        <v>4.6900000000000004</v>
      </c>
      <c r="N24" t="s">
        <v>68</v>
      </c>
      <c r="O24">
        <v>4.99</v>
      </c>
    </row>
    <row r="25" spans="1:15" x14ac:dyDescent="0.25">
      <c r="A25" t="s">
        <v>60</v>
      </c>
      <c r="B25" t="s">
        <v>91</v>
      </c>
      <c r="C25" t="s">
        <v>92</v>
      </c>
      <c r="E25">
        <v>0</v>
      </c>
      <c r="F25" t="s">
        <v>26</v>
      </c>
      <c r="G25" t="s">
        <v>63</v>
      </c>
      <c r="H25" t="s">
        <v>72</v>
      </c>
      <c r="I25" t="s">
        <v>65</v>
      </c>
      <c r="J25" t="s">
        <v>66</v>
      </c>
      <c r="K25">
        <v>3.79</v>
      </c>
      <c r="L25" t="s">
        <v>67</v>
      </c>
      <c r="M25">
        <v>4</v>
      </c>
      <c r="N25" t="s">
        <v>68</v>
      </c>
      <c r="O25">
        <v>4.29</v>
      </c>
    </row>
    <row r="26" spans="1:15" x14ac:dyDescent="0.25">
      <c r="A26" t="s">
        <v>60</v>
      </c>
      <c r="B26" t="s">
        <v>93</v>
      </c>
      <c r="C26" t="s">
        <v>94</v>
      </c>
      <c r="E26">
        <v>0</v>
      </c>
      <c r="F26" t="s">
        <v>26</v>
      </c>
      <c r="G26" t="s">
        <v>63</v>
      </c>
      <c r="H26" t="s">
        <v>72</v>
      </c>
      <c r="I26" t="s">
        <v>65</v>
      </c>
      <c r="J26" t="s">
        <v>66</v>
      </c>
      <c r="K26">
        <v>4.5</v>
      </c>
      <c r="L26" t="s">
        <v>67</v>
      </c>
      <c r="M26">
        <v>4.99</v>
      </c>
      <c r="N26" t="s">
        <v>68</v>
      </c>
      <c r="O26">
        <v>5.49</v>
      </c>
    </row>
    <row r="27" spans="1:15" x14ac:dyDescent="0.25">
      <c r="A27" t="s">
        <v>60</v>
      </c>
      <c r="B27" t="s">
        <v>95</v>
      </c>
      <c r="C27" t="s">
        <v>96</v>
      </c>
      <c r="E27">
        <v>0</v>
      </c>
      <c r="F27" t="s">
        <v>26</v>
      </c>
      <c r="G27" t="s">
        <v>63</v>
      </c>
      <c r="H27" t="s">
        <v>72</v>
      </c>
      <c r="I27" t="s">
        <v>65</v>
      </c>
      <c r="J27" t="s">
        <v>66</v>
      </c>
      <c r="K27">
        <v>3.75</v>
      </c>
      <c r="L27" t="s">
        <v>67</v>
      </c>
      <c r="M27">
        <v>4.0999999999999996</v>
      </c>
      <c r="N27" t="s">
        <v>68</v>
      </c>
      <c r="O27">
        <v>4.5</v>
      </c>
    </row>
    <row r="28" spans="1:15" x14ac:dyDescent="0.25">
      <c r="A28" t="s">
        <v>60</v>
      </c>
      <c r="B28" t="s">
        <v>97</v>
      </c>
      <c r="C28" t="s">
        <v>98</v>
      </c>
      <c r="E28">
        <v>0</v>
      </c>
      <c r="F28" t="s">
        <v>26</v>
      </c>
      <c r="G28" t="s">
        <v>63</v>
      </c>
      <c r="H28" t="s">
        <v>72</v>
      </c>
      <c r="I28" t="s">
        <v>65</v>
      </c>
      <c r="J28" t="s">
        <v>66</v>
      </c>
      <c r="K28">
        <v>5</v>
      </c>
      <c r="L28" t="s">
        <v>67</v>
      </c>
      <c r="M28">
        <v>5.45</v>
      </c>
      <c r="N28" t="s">
        <v>68</v>
      </c>
      <c r="O28">
        <v>5.95</v>
      </c>
    </row>
    <row r="29" spans="1:15" x14ac:dyDescent="0.25">
      <c r="A29" t="s">
        <v>99</v>
      </c>
      <c r="B29" t="s">
        <v>100</v>
      </c>
      <c r="C29" t="s">
        <v>101</v>
      </c>
      <c r="E29">
        <v>2.99</v>
      </c>
      <c r="F29" t="s">
        <v>26</v>
      </c>
      <c r="G29" t="s">
        <v>63</v>
      </c>
      <c r="H29" t="s">
        <v>72</v>
      </c>
      <c r="I29" t="s">
        <v>65</v>
      </c>
      <c r="J29" t="s">
        <v>66</v>
      </c>
      <c r="K29">
        <v>3.3</v>
      </c>
      <c r="L29" t="s">
        <v>67</v>
      </c>
      <c r="M29">
        <v>3.5</v>
      </c>
      <c r="N29" t="s">
        <v>68</v>
      </c>
      <c r="O29">
        <v>3.99</v>
      </c>
    </row>
    <row r="30" spans="1:15" x14ac:dyDescent="0.25">
      <c r="A30" t="s">
        <v>102</v>
      </c>
      <c r="B30" t="s">
        <v>103</v>
      </c>
      <c r="C30" t="s">
        <v>104</v>
      </c>
      <c r="E30">
        <v>0</v>
      </c>
      <c r="F30" t="s">
        <v>26</v>
      </c>
      <c r="G30" t="s">
        <v>63</v>
      </c>
      <c r="H30" t="s">
        <v>72</v>
      </c>
      <c r="I30" t="s">
        <v>65</v>
      </c>
      <c r="J30" t="s">
        <v>66</v>
      </c>
      <c r="K30">
        <v>3.2</v>
      </c>
      <c r="L30" t="s">
        <v>67</v>
      </c>
      <c r="M30">
        <v>3.8</v>
      </c>
      <c r="N30" t="s">
        <v>68</v>
      </c>
      <c r="O30">
        <v>4</v>
      </c>
    </row>
    <row r="31" spans="1:15" x14ac:dyDescent="0.25">
      <c r="A31" t="s">
        <v>105</v>
      </c>
      <c r="B31" t="s">
        <v>106</v>
      </c>
      <c r="C31" t="s">
        <v>107</v>
      </c>
      <c r="E31">
        <v>3.99</v>
      </c>
      <c r="F31" t="s">
        <v>26</v>
      </c>
      <c r="G31" t="s">
        <v>108</v>
      </c>
    </row>
    <row r="32" spans="1:15" x14ac:dyDescent="0.25">
      <c r="A32" t="s">
        <v>109</v>
      </c>
      <c r="B32" t="s">
        <v>110</v>
      </c>
      <c r="C32" t="s">
        <v>111</v>
      </c>
      <c r="E32">
        <v>3.99</v>
      </c>
      <c r="F32" t="s">
        <v>26</v>
      </c>
      <c r="G32" t="s">
        <v>108</v>
      </c>
    </row>
    <row r="33" spans="1:7" x14ac:dyDescent="0.25">
      <c r="A33" t="s">
        <v>112</v>
      </c>
      <c r="B33" t="s">
        <v>112</v>
      </c>
      <c r="C33" t="s">
        <v>113</v>
      </c>
      <c r="E33">
        <v>3.99</v>
      </c>
      <c r="F33" t="s">
        <v>26</v>
      </c>
      <c r="G33" t="s">
        <v>108</v>
      </c>
    </row>
    <row r="34" spans="1:7" x14ac:dyDescent="0.25">
      <c r="A34" t="s">
        <v>114</v>
      </c>
      <c r="B34" t="s">
        <v>115</v>
      </c>
      <c r="C34" t="s">
        <v>116</v>
      </c>
      <c r="E34">
        <v>3.99</v>
      </c>
      <c r="F34" t="s">
        <v>26</v>
      </c>
      <c r="G34" t="s">
        <v>108</v>
      </c>
    </row>
    <row r="35" spans="1:7" x14ac:dyDescent="0.25">
      <c r="A35" t="s">
        <v>117</v>
      </c>
      <c r="B35" t="s">
        <v>118</v>
      </c>
      <c r="C35" t="s">
        <v>119</v>
      </c>
      <c r="E35">
        <v>3.99</v>
      </c>
      <c r="F35" t="s">
        <v>26</v>
      </c>
      <c r="G35" t="s">
        <v>108</v>
      </c>
    </row>
    <row r="36" spans="1:7" x14ac:dyDescent="0.25">
      <c r="A36" t="s">
        <v>120</v>
      </c>
      <c r="B36" t="s">
        <v>121</v>
      </c>
      <c r="C36" t="s">
        <v>120</v>
      </c>
      <c r="E36">
        <v>4.99</v>
      </c>
      <c r="F36" t="s">
        <v>26</v>
      </c>
      <c r="G36" t="s">
        <v>108</v>
      </c>
    </row>
    <row r="37" spans="1:7" x14ac:dyDescent="0.25">
      <c r="A37" t="s">
        <v>122</v>
      </c>
      <c r="B37" t="s">
        <v>123</v>
      </c>
      <c r="C37" t="s">
        <v>124</v>
      </c>
      <c r="E37">
        <v>3.99</v>
      </c>
      <c r="F37" t="s">
        <v>26</v>
      </c>
      <c r="G37" t="s">
        <v>108</v>
      </c>
    </row>
    <row r="38" spans="1:7" x14ac:dyDescent="0.25">
      <c r="A38" t="s">
        <v>125</v>
      </c>
      <c r="B38" t="s">
        <v>126</v>
      </c>
      <c r="C38" t="s">
        <v>127</v>
      </c>
      <c r="E38">
        <v>3.99</v>
      </c>
      <c r="F38" t="s">
        <v>26</v>
      </c>
      <c r="G38" t="s">
        <v>108</v>
      </c>
    </row>
    <row r="39" spans="1:7" x14ac:dyDescent="0.25">
      <c r="A39" t="s">
        <v>128</v>
      </c>
      <c r="B39" t="s">
        <v>129</v>
      </c>
      <c r="C39" t="s">
        <v>130</v>
      </c>
      <c r="E39">
        <v>4.99</v>
      </c>
      <c r="F39" t="s">
        <v>26</v>
      </c>
      <c r="G39" t="s">
        <v>108</v>
      </c>
    </row>
    <row r="40" spans="1:7" x14ac:dyDescent="0.25">
      <c r="A40" t="s">
        <v>102</v>
      </c>
      <c r="B40" t="s">
        <v>131</v>
      </c>
      <c r="C40" t="s">
        <v>132</v>
      </c>
      <c r="E40">
        <v>4.99</v>
      </c>
      <c r="F40" t="s">
        <v>26</v>
      </c>
      <c r="G40" t="s">
        <v>108</v>
      </c>
    </row>
    <row r="41" spans="1:7" x14ac:dyDescent="0.25">
      <c r="A41" t="s">
        <v>133</v>
      </c>
      <c r="B41" t="s">
        <v>134</v>
      </c>
      <c r="C41" t="s">
        <v>135</v>
      </c>
      <c r="E41">
        <v>4.99</v>
      </c>
      <c r="F41" t="s">
        <v>26</v>
      </c>
      <c r="G41" t="s">
        <v>108</v>
      </c>
    </row>
    <row r="42" spans="1:7" x14ac:dyDescent="0.25">
      <c r="A42" t="s">
        <v>136</v>
      </c>
      <c r="B42" t="s">
        <v>137</v>
      </c>
      <c r="C42" t="s">
        <v>136</v>
      </c>
      <c r="E42">
        <v>3.99</v>
      </c>
      <c r="F42" t="s">
        <v>26</v>
      </c>
      <c r="G42" t="s">
        <v>108</v>
      </c>
    </row>
    <row r="43" spans="1:7" x14ac:dyDescent="0.25">
      <c r="A43" t="s">
        <v>138</v>
      </c>
      <c r="B43" t="s">
        <v>139</v>
      </c>
      <c r="C43" t="s">
        <v>140</v>
      </c>
      <c r="E43">
        <v>4.99</v>
      </c>
      <c r="F43" t="s">
        <v>26</v>
      </c>
      <c r="G43" t="s">
        <v>108</v>
      </c>
    </row>
    <row r="44" spans="1:7" x14ac:dyDescent="0.25">
      <c r="A44" t="s">
        <v>141</v>
      </c>
      <c r="B44" t="s">
        <v>142</v>
      </c>
      <c r="C44" t="s">
        <v>143</v>
      </c>
      <c r="E44">
        <v>4.99</v>
      </c>
      <c r="F44" t="s">
        <v>26</v>
      </c>
      <c r="G44" t="s">
        <v>108</v>
      </c>
    </row>
    <row r="45" spans="1:7" x14ac:dyDescent="0.25">
      <c r="A45" t="s">
        <v>51</v>
      </c>
      <c r="B45" t="s">
        <v>52</v>
      </c>
      <c r="C45" t="s">
        <v>53</v>
      </c>
      <c r="E45">
        <v>6</v>
      </c>
      <c r="F45" t="s">
        <v>26</v>
      </c>
      <c r="G45" t="s">
        <v>108</v>
      </c>
    </row>
    <row r="46" spans="1:7" x14ac:dyDescent="0.25">
      <c r="A46" t="s">
        <v>144</v>
      </c>
      <c r="B46" t="s">
        <v>145</v>
      </c>
      <c r="C46" t="s">
        <v>146</v>
      </c>
      <c r="E46">
        <v>9</v>
      </c>
      <c r="F46" t="s">
        <v>26</v>
      </c>
      <c r="G46" t="s">
        <v>108</v>
      </c>
    </row>
    <row r="47" spans="1:7" x14ac:dyDescent="0.25">
      <c r="A47" t="s">
        <v>147</v>
      </c>
      <c r="B47" t="s">
        <v>148</v>
      </c>
      <c r="C47" t="s">
        <v>149</v>
      </c>
      <c r="E47">
        <v>9</v>
      </c>
      <c r="F47" t="s">
        <v>26</v>
      </c>
      <c r="G47" t="s">
        <v>108</v>
      </c>
    </row>
    <row r="48" spans="1:7" x14ac:dyDescent="0.25">
      <c r="A48" t="s">
        <v>150</v>
      </c>
      <c r="B48" t="s">
        <v>151</v>
      </c>
      <c r="C48" t="s">
        <v>152</v>
      </c>
      <c r="E48">
        <v>3</v>
      </c>
      <c r="F48" t="s">
        <v>26</v>
      </c>
      <c r="G48" t="s">
        <v>108</v>
      </c>
    </row>
    <row r="49" spans="1:7" x14ac:dyDescent="0.25">
      <c r="A49" t="s">
        <v>153</v>
      </c>
      <c r="B49" t="s">
        <v>154</v>
      </c>
      <c r="C49" t="s">
        <v>155</v>
      </c>
      <c r="E49">
        <v>5</v>
      </c>
      <c r="F49" t="s">
        <v>26</v>
      </c>
      <c r="G49" t="s">
        <v>108</v>
      </c>
    </row>
    <row r="50" spans="1:7" x14ac:dyDescent="0.25">
      <c r="A50" t="s">
        <v>156</v>
      </c>
      <c r="B50" t="s">
        <v>157</v>
      </c>
      <c r="C50" t="s">
        <v>158</v>
      </c>
      <c r="E50">
        <v>3.49</v>
      </c>
      <c r="F50" t="s">
        <v>26</v>
      </c>
      <c r="G50" t="s">
        <v>159</v>
      </c>
    </row>
    <row r="51" spans="1:7" x14ac:dyDescent="0.25">
      <c r="A51" t="s">
        <v>160</v>
      </c>
      <c r="B51" t="s">
        <v>161</v>
      </c>
      <c r="C51" t="s">
        <v>162</v>
      </c>
      <c r="E51">
        <v>3.49</v>
      </c>
      <c r="F51" t="s">
        <v>26</v>
      </c>
      <c r="G51" t="s">
        <v>159</v>
      </c>
    </row>
    <row r="52" spans="1:7" x14ac:dyDescent="0.25">
      <c r="A52" t="s">
        <v>163</v>
      </c>
      <c r="B52" t="s">
        <v>126</v>
      </c>
      <c r="C52" t="s">
        <v>164</v>
      </c>
      <c r="E52">
        <v>3.49</v>
      </c>
      <c r="F52" t="s">
        <v>26</v>
      </c>
      <c r="G52" t="s">
        <v>159</v>
      </c>
    </row>
    <row r="53" spans="1:7" x14ac:dyDescent="0.25">
      <c r="A53" t="s">
        <v>165</v>
      </c>
      <c r="B53" t="s">
        <v>166</v>
      </c>
      <c r="C53" t="s">
        <v>167</v>
      </c>
      <c r="E53">
        <v>3.49</v>
      </c>
      <c r="F53" t="s">
        <v>26</v>
      </c>
      <c r="G53" t="s">
        <v>159</v>
      </c>
    </row>
    <row r="54" spans="1:7" x14ac:dyDescent="0.25">
      <c r="A54" t="s">
        <v>168</v>
      </c>
      <c r="B54" t="s">
        <v>169</v>
      </c>
      <c r="C54" t="s">
        <v>170</v>
      </c>
      <c r="E54">
        <v>3.69</v>
      </c>
      <c r="F54" t="s">
        <v>26</v>
      </c>
      <c r="G54" t="s">
        <v>171</v>
      </c>
    </row>
    <row r="55" spans="1:7" x14ac:dyDescent="0.25">
      <c r="A55" t="s">
        <v>172</v>
      </c>
      <c r="B55" t="s">
        <v>173</v>
      </c>
      <c r="C55" t="s">
        <v>174</v>
      </c>
      <c r="E55">
        <v>6.5</v>
      </c>
      <c r="F55" t="s">
        <v>26</v>
      </c>
      <c r="G55" t="s">
        <v>171</v>
      </c>
    </row>
    <row r="56" spans="1:7" x14ac:dyDescent="0.25">
      <c r="A56" t="s">
        <v>175</v>
      </c>
      <c r="B56" t="s">
        <v>176</v>
      </c>
      <c r="C56" t="s">
        <v>177</v>
      </c>
      <c r="E56">
        <v>1</v>
      </c>
      <c r="F56" t="s">
        <v>26</v>
      </c>
      <c r="G56" t="s">
        <v>171</v>
      </c>
    </row>
    <row r="57" spans="1:7" x14ac:dyDescent="0.25">
      <c r="A57" t="s">
        <v>178</v>
      </c>
      <c r="B57" t="s">
        <v>179</v>
      </c>
      <c r="C57" t="s">
        <v>180</v>
      </c>
      <c r="E57">
        <v>6.99</v>
      </c>
      <c r="F57" t="s">
        <v>26</v>
      </c>
      <c r="G57" t="s">
        <v>181</v>
      </c>
    </row>
    <row r="58" spans="1:7" x14ac:dyDescent="0.25">
      <c r="A58" t="s">
        <v>125</v>
      </c>
      <c r="B58" t="s">
        <v>182</v>
      </c>
      <c r="C58" t="s">
        <v>183</v>
      </c>
      <c r="E58">
        <v>7.99</v>
      </c>
      <c r="F58" t="s">
        <v>26</v>
      </c>
      <c r="G58" t="s">
        <v>181</v>
      </c>
    </row>
    <row r="59" spans="1:7" x14ac:dyDescent="0.25">
      <c r="A59" t="s">
        <v>184</v>
      </c>
      <c r="B59" t="s">
        <v>185</v>
      </c>
      <c r="C59" t="s">
        <v>186</v>
      </c>
      <c r="E59">
        <v>6.49</v>
      </c>
      <c r="F59" t="s">
        <v>26</v>
      </c>
      <c r="G59" t="s">
        <v>181</v>
      </c>
    </row>
    <row r="60" spans="1:7" x14ac:dyDescent="0.25">
      <c r="A60" t="s">
        <v>187</v>
      </c>
      <c r="B60" t="s">
        <v>188</v>
      </c>
      <c r="C60" t="s">
        <v>189</v>
      </c>
      <c r="E60">
        <v>7.99</v>
      </c>
      <c r="F60" t="s">
        <v>26</v>
      </c>
      <c r="G60" t="s">
        <v>181</v>
      </c>
    </row>
    <row r="61" spans="1:7" x14ac:dyDescent="0.25">
      <c r="A61" t="s">
        <v>190</v>
      </c>
      <c r="B61" t="s">
        <v>191</v>
      </c>
      <c r="C61" t="s">
        <v>192</v>
      </c>
      <c r="E61">
        <v>7.99</v>
      </c>
      <c r="F61" t="s">
        <v>26</v>
      </c>
      <c r="G61" t="s">
        <v>181</v>
      </c>
    </row>
    <row r="62" spans="1:7" x14ac:dyDescent="0.25">
      <c r="A62" t="s">
        <v>193</v>
      </c>
      <c r="B62" t="s">
        <v>194</v>
      </c>
      <c r="C62" t="s">
        <v>195</v>
      </c>
      <c r="E62">
        <v>7.99</v>
      </c>
      <c r="F62" t="s">
        <v>26</v>
      </c>
      <c r="G62" t="s">
        <v>181</v>
      </c>
    </row>
    <row r="63" spans="1:7" x14ac:dyDescent="0.25">
      <c r="A63" t="s">
        <v>196</v>
      </c>
      <c r="B63" t="s">
        <v>197</v>
      </c>
      <c r="C63" t="s">
        <v>198</v>
      </c>
      <c r="E63">
        <v>7.99</v>
      </c>
      <c r="F63" t="s">
        <v>26</v>
      </c>
      <c r="G63" t="s">
        <v>181</v>
      </c>
    </row>
    <row r="64" spans="1:7" x14ac:dyDescent="0.25">
      <c r="A64" t="s">
        <v>178</v>
      </c>
      <c r="B64" t="s">
        <v>199</v>
      </c>
      <c r="C64" t="s">
        <v>200</v>
      </c>
      <c r="E64">
        <v>7.99</v>
      </c>
      <c r="F64" t="s">
        <v>26</v>
      </c>
      <c r="G64" t="s">
        <v>181</v>
      </c>
    </row>
    <row r="65" spans="1:7" x14ac:dyDescent="0.25">
      <c r="A65" t="s">
        <v>187</v>
      </c>
      <c r="B65" t="s">
        <v>201</v>
      </c>
      <c r="C65" t="s">
        <v>202</v>
      </c>
      <c r="E65">
        <v>8.49</v>
      </c>
      <c r="F65" t="s">
        <v>26</v>
      </c>
      <c r="G65" t="s">
        <v>181</v>
      </c>
    </row>
    <row r="66" spans="1:7" x14ac:dyDescent="0.25">
      <c r="A66" t="e">
        <f>+ GRE</f>
        <v>#NAME?</v>
      </c>
      <c r="B66" t="e">
        <f>+ greek yogurt</f>
        <v>#NAME?</v>
      </c>
      <c r="C66" t="e">
        <f>-GRK-YGRT</f>
        <v>#NAME?</v>
      </c>
      <c r="E66">
        <v>1</v>
      </c>
      <c r="F66" t="s">
        <v>26</v>
      </c>
      <c r="G66" t="s">
        <v>181</v>
      </c>
    </row>
    <row r="67" spans="1:7" x14ac:dyDescent="0.25">
      <c r="A67" t="e">
        <f>+ CHI</f>
        <v>#NAME?</v>
      </c>
      <c r="B67" t="e">
        <f>+ chia seeds</f>
        <v>#NAME?</v>
      </c>
      <c r="C67" t="e">
        <f>-CH-SDS</f>
        <v>#NAME?</v>
      </c>
      <c r="E67">
        <v>1.1000000000000001</v>
      </c>
      <c r="F67" t="s">
        <v>26</v>
      </c>
      <c r="G67" t="s">
        <v>181</v>
      </c>
    </row>
    <row r="68" spans="1:7" x14ac:dyDescent="0.25">
      <c r="A68" t="e">
        <f>+ EXT</f>
        <v>#NAME?</v>
      </c>
      <c r="B68" t="e">
        <f>+ extra fruits</f>
        <v>#NAME?</v>
      </c>
      <c r="C68" t="e">
        <f>-XTR-FRTS</f>
        <v>#NAME?</v>
      </c>
      <c r="E68">
        <v>1</v>
      </c>
      <c r="F68" t="s">
        <v>26</v>
      </c>
      <c r="G68" t="s">
        <v>181</v>
      </c>
    </row>
    <row r="69" spans="1:7" x14ac:dyDescent="0.25">
      <c r="A69" t="e">
        <f>+ OAT</f>
        <v>#NAME?</v>
      </c>
      <c r="B69" t="e">
        <f>+ OAT milk</f>
        <v>#NAME?</v>
      </c>
      <c r="C69" t="e">
        <f>-T-MLK</f>
        <v>#NAME?</v>
      </c>
      <c r="E69">
        <v>1</v>
      </c>
      <c r="F69" t="s">
        <v>26</v>
      </c>
      <c r="G69" t="s">
        <v>181</v>
      </c>
    </row>
    <row r="70" spans="1:7" x14ac:dyDescent="0.25">
      <c r="A70" t="s">
        <v>203</v>
      </c>
      <c r="B70" t="s">
        <v>204</v>
      </c>
      <c r="C70" t="s">
        <v>205</v>
      </c>
      <c r="E70">
        <v>1.5</v>
      </c>
      <c r="F70" t="s">
        <v>26</v>
      </c>
      <c r="G70" t="s">
        <v>206</v>
      </c>
    </row>
    <row r="71" spans="1:7" x14ac:dyDescent="0.25">
      <c r="A71" t="s">
        <v>207</v>
      </c>
      <c r="B71" t="s">
        <v>208</v>
      </c>
      <c r="C71" t="s">
        <v>209</v>
      </c>
      <c r="E71">
        <v>1.5</v>
      </c>
      <c r="F71" t="s">
        <v>26</v>
      </c>
      <c r="G71" t="s">
        <v>206</v>
      </c>
    </row>
    <row r="72" spans="1:7" x14ac:dyDescent="0.25">
      <c r="A72" t="s">
        <v>210</v>
      </c>
      <c r="B72" t="s">
        <v>211</v>
      </c>
      <c r="C72" t="s">
        <v>212</v>
      </c>
      <c r="E72">
        <v>5.2</v>
      </c>
      <c r="F72" t="s">
        <v>26</v>
      </c>
      <c r="G72" t="s">
        <v>206</v>
      </c>
    </row>
    <row r="73" spans="1:7" x14ac:dyDescent="0.25">
      <c r="A73" t="s">
        <v>213</v>
      </c>
      <c r="B73" t="s">
        <v>214</v>
      </c>
      <c r="C73" t="s">
        <v>215</v>
      </c>
      <c r="E73">
        <v>3.2</v>
      </c>
      <c r="F73" t="s">
        <v>26</v>
      </c>
      <c r="G73" t="s">
        <v>216</v>
      </c>
    </row>
    <row r="74" spans="1:7" x14ac:dyDescent="0.25">
      <c r="A74" t="s">
        <v>217</v>
      </c>
      <c r="B74" t="s">
        <v>218</v>
      </c>
      <c r="C74" t="s">
        <v>219</v>
      </c>
      <c r="E74">
        <v>3.2</v>
      </c>
      <c r="F74" t="s">
        <v>26</v>
      </c>
      <c r="G74" t="s">
        <v>216</v>
      </c>
    </row>
    <row r="75" spans="1:7" x14ac:dyDescent="0.25">
      <c r="A75" t="s">
        <v>220</v>
      </c>
      <c r="B75" t="s">
        <v>221</v>
      </c>
      <c r="C75" t="s">
        <v>222</v>
      </c>
      <c r="E75">
        <v>8.99</v>
      </c>
      <c r="F75" t="s">
        <v>26</v>
      </c>
      <c r="G75" t="s">
        <v>223</v>
      </c>
    </row>
    <row r="76" spans="1:7" x14ac:dyDescent="0.25">
      <c r="A76" t="s">
        <v>48</v>
      </c>
      <c r="B76" t="s">
        <v>224</v>
      </c>
      <c r="C76" t="s">
        <v>225</v>
      </c>
      <c r="E76">
        <v>7.99</v>
      </c>
      <c r="F76" t="s">
        <v>26</v>
      </c>
      <c r="G76" t="s">
        <v>223</v>
      </c>
    </row>
    <row r="77" spans="1:7" x14ac:dyDescent="0.25">
      <c r="A77" t="s">
        <v>226</v>
      </c>
      <c r="B77" t="s">
        <v>227</v>
      </c>
      <c r="C77" t="s">
        <v>228</v>
      </c>
      <c r="E77">
        <v>7.5</v>
      </c>
      <c r="F77" t="s">
        <v>26</v>
      </c>
      <c r="G77" t="s">
        <v>223</v>
      </c>
    </row>
    <row r="78" spans="1:7" x14ac:dyDescent="0.25">
      <c r="A78" t="s">
        <v>229</v>
      </c>
      <c r="B78" t="s">
        <v>230</v>
      </c>
      <c r="C78" t="s">
        <v>231</v>
      </c>
      <c r="E78">
        <v>6.99</v>
      </c>
      <c r="F78" t="s">
        <v>26</v>
      </c>
      <c r="G78" t="s">
        <v>223</v>
      </c>
    </row>
    <row r="79" spans="1:7" x14ac:dyDescent="0.25">
      <c r="A79" t="s">
        <v>232</v>
      </c>
      <c r="B79" t="s">
        <v>233</v>
      </c>
      <c r="C79" t="s">
        <v>234</v>
      </c>
      <c r="E79">
        <v>7.99</v>
      </c>
      <c r="F79" t="s">
        <v>26</v>
      </c>
      <c r="G79" t="s">
        <v>223</v>
      </c>
    </row>
    <row r="80" spans="1:7" x14ac:dyDescent="0.25">
      <c r="A80" t="s">
        <v>235</v>
      </c>
      <c r="B80" t="s">
        <v>236</v>
      </c>
      <c r="C80" t="s">
        <v>237</v>
      </c>
      <c r="E80">
        <v>7.99</v>
      </c>
      <c r="F80" t="s">
        <v>26</v>
      </c>
      <c r="G80" t="s">
        <v>223</v>
      </c>
    </row>
    <row r="81" spans="1:7" x14ac:dyDescent="0.25">
      <c r="A81" t="s">
        <v>226</v>
      </c>
      <c r="B81" t="s">
        <v>238</v>
      </c>
      <c r="C81" t="s">
        <v>239</v>
      </c>
      <c r="E81">
        <v>7.99</v>
      </c>
      <c r="F81" t="s">
        <v>26</v>
      </c>
      <c r="G81" t="s">
        <v>240</v>
      </c>
    </row>
    <row r="82" spans="1:7" x14ac:dyDescent="0.25">
      <c r="A82" t="s">
        <v>241</v>
      </c>
      <c r="B82" t="s">
        <v>242</v>
      </c>
      <c r="C82" t="e">
        <f>-4-SCNS</f>
        <v>#NAME?</v>
      </c>
      <c r="E82">
        <v>9</v>
      </c>
      <c r="F82" t="s">
        <v>26</v>
      </c>
      <c r="G82" t="s">
        <v>243</v>
      </c>
    </row>
    <row r="83" spans="1:7" x14ac:dyDescent="0.25">
      <c r="A83" t="s">
        <v>244</v>
      </c>
      <c r="B83" t="s">
        <v>245</v>
      </c>
      <c r="C83" t="s">
        <v>246</v>
      </c>
      <c r="E83">
        <v>5</v>
      </c>
      <c r="F83" t="s">
        <v>26</v>
      </c>
      <c r="G83" t="s">
        <v>243</v>
      </c>
    </row>
    <row r="84" spans="1:7" x14ac:dyDescent="0.25">
      <c r="A84" t="s">
        <v>247</v>
      </c>
      <c r="B84" t="s">
        <v>248</v>
      </c>
      <c r="C84" t="s">
        <v>249</v>
      </c>
      <c r="E84">
        <v>3.99</v>
      </c>
      <c r="F84" t="s">
        <v>26</v>
      </c>
      <c r="G84" t="s">
        <v>250</v>
      </c>
    </row>
    <row r="85" spans="1:7" x14ac:dyDescent="0.25">
      <c r="A85" t="s">
        <v>251</v>
      </c>
      <c r="B85" t="s">
        <v>252</v>
      </c>
      <c r="C85" t="s">
        <v>253</v>
      </c>
      <c r="E85">
        <v>3.99</v>
      </c>
      <c r="F85" t="s">
        <v>26</v>
      </c>
      <c r="G85" t="s">
        <v>250</v>
      </c>
    </row>
    <row r="86" spans="1:7" x14ac:dyDescent="0.25">
      <c r="A86" t="s">
        <v>251</v>
      </c>
      <c r="B86" t="s">
        <v>254</v>
      </c>
      <c r="C86" t="s">
        <v>255</v>
      </c>
      <c r="E86">
        <v>4.6900000000000004</v>
      </c>
      <c r="F86" t="s">
        <v>26</v>
      </c>
      <c r="G86" t="s">
        <v>250</v>
      </c>
    </row>
    <row r="87" spans="1:7" x14ac:dyDescent="0.25">
      <c r="A87" t="s">
        <v>256</v>
      </c>
      <c r="B87" t="s">
        <v>257</v>
      </c>
      <c r="C87" t="s">
        <v>258</v>
      </c>
      <c r="E87">
        <v>4.99</v>
      </c>
      <c r="F87" t="s">
        <v>26</v>
      </c>
      <c r="G87" t="s">
        <v>250</v>
      </c>
    </row>
    <row r="88" spans="1:7" x14ac:dyDescent="0.25">
      <c r="A88" t="s">
        <v>259</v>
      </c>
      <c r="B88" t="s">
        <v>260</v>
      </c>
      <c r="C88" t="s">
        <v>261</v>
      </c>
      <c r="E88">
        <v>4.99</v>
      </c>
      <c r="F88" t="s">
        <v>26</v>
      </c>
      <c r="G88" t="s">
        <v>250</v>
      </c>
    </row>
    <row r="89" spans="1:7" x14ac:dyDescent="0.25">
      <c r="A89" t="s">
        <v>262</v>
      </c>
      <c r="B89" t="s">
        <v>263</v>
      </c>
      <c r="C89" t="s">
        <v>264</v>
      </c>
      <c r="E89">
        <v>2.5</v>
      </c>
      <c r="F89" t="s">
        <v>26</v>
      </c>
      <c r="G89" t="s">
        <v>250</v>
      </c>
    </row>
    <row r="90" spans="1:7" x14ac:dyDescent="0.25">
      <c r="A90" t="s">
        <v>217</v>
      </c>
      <c r="B90" t="s">
        <v>218</v>
      </c>
      <c r="C90" t="s">
        <v>219</v>
      </c>
      <c r="E90">
        <v>3.99</v>
      </c>
      <c r="F90" t="s">
        <v>26</v>
      </c>
      <c r="G90" t="s">
        <v>265</v>
      </c>
    </row>
    <row r="91" spans="1:7" x14ac:dyDescent="0.25">
      <c r="A91" t="s">
        <v>266</v>
      </c>
      <c r="B91" t="s">
        <v>267</v>
      </c>
      <c r="C91" t="s">
        <v>268</v>
      </c>
      <c r="E91">
        <v>3.99</v>
      </c>
      <c r="F91" t="s">
        <v>26</v>
      </c>
      <c r="G91" t="s">
        <v>265</v>
      </c>
    </row>
    <row r="92" spans="1:7" x14ac:dyDescent="0.25">
      <c r="A92" t="s">
        <v>269</v>
      </c>
      <c r="B92" t="s">
        <v>270</v>
      </c>
      <c r="C92" t="s">
        <v>271</v>
      </c>
      <c r="E92">
        <v>3.99</v>
      </c>
      <c r="F92" t="s">
        <v>26</v>
      </c>
      <c r="G92" t="s">
        <v>265</v>
      </c>
    </row>
    <row r="93" spans="1:7" x14ac:dyDescent="0.25">
      <c r="A93" t="s">
        <v>160</v>
      </c>
      <c r="B93" t="s">
        <v>272</v>
      </c>
      <c r="C93" t="s">
        <v>162</v>
      </c>
      <c r="E93">
        <v>3.99</v>
      </c>
      <c r="F93" t="s">
        <v>26</v>
      </c>
      <c r="G93" t="s">
        <v>265</v>
      </c>
    </row>
    <row r="94" spans="1:7" x14ac:dyDescent="0.25">
      <c r="A94" t="s">
        <v>273</v>
      </c>
      <c r="B94" t="s">
        <v>274</v>
      </c>
      <c r="C94" t="s">
        <v>275</v>
      </c>
      <c r="E94">
        <v>3.99</v>
      </c>
      <c r="F94" t="s">
        <v>26</v>
      </c>
      <c r="G94" t="s">
        <v>265</v>
      </c>
    </row>
    <row r="95" spans="1:7" x14ac:dyDescent="0.25">
      <c r="A95" t="s">
        <v>163</v>
      </c>
      <c r="B95" t="s">
        <v>276</v>
      </c>
      <c r="C95" t="s">
        <v>277</v>
      </c>
      <c r="E95">
        <v>3.99</v>
      </c>
      <c r="F95" t="s">
        <v>26</v>
      </c>
      <c r="G95" t="s">
        <v>265</v>
      </c>
    </row>
    <row r="96" spans="1:7" x14ac:dyDescent="0.25">
      <c r="A96" t="s">
        <v>278</v>
      </c>
      <c r="B96" t="s">
        <v>279</v>
      </c>
      <c r="C96" t="s">
        <v>280</v>
      </c>
      <c r="E96">
        <v>14</v>
      </c>
      <c r="F96" t="s">
        <v>26</v>
      </c>
      <c r="G96" t="s">
        <v>265</v>
      </c>
    </row>
    <row r="97" spans="1:13" x14ac:dyDescent="0.25">
      <c r="A97" t="s">
        <v>281</v>
      </c>
      <c r="B97" t="s">
        <v>282</v>
      </c>
      <c r="C97" t="s">
        <v>283</v>
      </c>
      <c r="E97">
        <v>1.5</v>
      </c>
      <c r="F97" t="s">
        <v>26</v>
      </c>
      <c r="G97" t="s">
        <v>284</v>
      </c>
    </row>
    <row r="98" spans="1:13" x14ac:dyDescent="0.25">
      <c r="A98" t="s">
        <v>285</v>
      </c>
      <c r="B98" t="s">
        <v>286</v>
      </c>
      <c r="C98" t="s">
        <v>287</v>
      </c>
      <c r="E98">
        <v>2</v>
      </c>
      <c r="F98" t="s">
        <v>26</v>
      </c>
      <c r="G98" t="s">
        <v>284</v>
      </c>
    </row>
    <row r="99" spans="1:13" x14ac:dyDescent="0.25">
      <c r="A99" t="s">
        <v>288</v>
      </c>
      <c r="B99" t="s">
        <v>289</v>
      </c>
      <c r="C99" t="s">
        <v>290</v>
      </c>
      <c r="E99">
        <v>2</v>
      </c>
      <c r="F99" t="s">
        <v>26</v>
      </c>
      <c r="G99" t="s">
        <v>284</v>
      </c>
    </row>
    <row r="100" spans="1:13" x14ac:dyDescent="0.25">
      <c r="A100" t="s">
        <v>291</v>
      </c>
      <c r="B100" t="s">
        <v>292</v>
      </c>
      <c r="C100" t="s">
        <v>293</v>
      </c>
      <c r="E100">
        <v>2</v>
      </c>
      <c r="F100" t="s">
        <v>26</v>
      </c>
      <c r="G100" t="s">
        <v>284</v>
      </c>
    </row>
    <row r="101" spans="1:13" x14ac:dyDescent="0.25">
      <c r="A101" t="s">
        <v>294</v>
      </c>
      <c r="B101" t="s">
        <v>295</v>
      </c>
      <c r="C101" t="s">
        <v>296</v>
      </c>
      <c r="E101">
        <v>2</v>
      </c>
      <c r="F101" t="s">
        <v>26</v>
      </c>
      <c r="G101" t="s">
        <v>284</v>
      </c>
    </row>
    <row r="102" spans="1:13" x14ac:dyDescent="0.25">
      <c r="A102" t="s">
        <v>297</v>
      </c>
      <c r="B102" t="s">
        <v>298</v>
      </c>
      <c r="C102" t="s">
        <v>299</v>
      </c>
      <c r="E102">
        <v>0</v>
      </c>
      <c r="F102" t="s">
        <v>26</v>
      </c>
      <c r="G102" t="s">
        <v>284</v>
      </c>
      <c r="H102" t="s">
        <v>72</v>
      </c>
      <c r="I102" t="s">
        <v>65</v>
      </c>
      <c r="J102" t="s">
        <v>300</v>
      </c>
      <c r="K102">
        <v>6</v>
      </c>
      <c r="L102" t="s">
        <v>68</v>
      </c>
      <c r="M102">
        <v>8</v>
      </c>
    </row>
    <row r="103" spans="1:13" x14ac:dyDescent="0.25">
      <c r="A103" t="s">
        <v>301</v>
      </c>
      <c r="B103" t="s">
        <v>302</v>
      </c>
      <c r="C103" t="s">
        <v>303</v>
      </c>
      <c r="E103">
        <v>5.2</v>
      </c>
      <c r="F103" t="s">
        <v>26</v>
      </c>
      <c r="G103" t="s">
        <v>304</v>
      </c>
    </row>
    <row r="104" spans="1:13" x14ac:dyDescent="0.25">
      <c r="A104" t="s">
        <v>305</v>
      </c>
      <c r="B104" t="s">
        <v>306</v>
      </c>
      <c r="C104" t="s">
        <v>307</v>
      </c>
      <c r="E104">
        <v>4.8899999999999997</v>
      </c>
      <c r="F104" t="s">
        <v>26</v>
      </c>
      <c r="G104" t="s">
        <v>304</v>
      </c>
    </row>
    <row r="105" spans="1:13" x14ac:dyDescent="0.25">
      <c r="A105" t="s">
        <v>308</v>
      </c>
      <c r="B105" t="s">
        <v>309</v>
      </c>
      <c r="C105" t="s">
        <v>310</v>
      </c>
      <c r="E105">
        <v>4.49</v>
      </c>
      <c r="F105" t="s">
        <v>26</v>
      </c>
      <c r="G105" t="s">
        <v>304</v>
      </c>
    </row>
    <row r="106" spans="1:13" x14ac:dyDescent="0.25">
      <c r="A106" t="s">
        <v>311</v>
      </c>
      <c r="B106" t="s">
        <v>312</v>
      </c>
      <c r="C106" t="s">
        <v>313</v>
      </c>
      <c r="E106">
        <v>4.8899999999999997</v>
      </c>
      <c r="F106" t="s">
        <v>26</v>
      </c>
      <c r="G106" t="s">
        <v>304</v>
      </c>
    </row>
    <row r="107" spans="1:13" x14ac:dyDescent="0.25">
      <c r="A107" t="s">
        <v>314</v>
      </c>
      <c r="B107" t="s">
        <v>315</v>
      </c>
      <c r="C107" t="s">
        <v>316</v>
      </c>
      <c r="E107">
        <v>4.99</v>
      </c>
      <c r="F107" t="s">
        <v>26</v>
      </c>
      <c r="G107" t="s">
        <v>304</v>
      </c>
    </row>
    <row r="108" spans="1:13" x14ac:dyDescent="0.25">
      <c r="A108" t="s">
        <v>317</v>
      </c>
      <c r="B108" t="s">
        <v>318</v>
      </c>
      <c r="C108" t="s">
        <v>319</v>
      </c>
      <c r="E108">
        <v>4.49</v>
      </c>
      <c r="F108" t="s">
        <v>26</v>
      </c>
      <c r="G108" t="s">
        <v>304</v>
      </c>
    </row>
    <row r="109" spans="1:13" x14ac:dyDescent="0.25">
      <c r="A109" t="s">
        <v>320</v>
      </c>
      <c r="B109" t="s">
        <v>321</v>
      </c>
      <c r="C109" t="s">
        <v>320</v>
      </c>
      <c r="E109">
        <v>12.5</v>
      </c>
      <c r="F109" t="s">
        <v>26</v>
      </c>
      <c r="G109" t="s">
        <v>304</v>
      </c>
    </row>
    <row r="110" spans="1:13" x14ac:dyDescent="0.25">
      <c r="A110" t="s">
        <v>322</v>
      </c>
      <c r="B110" t="s">
        <v>322</v>
      </c>
      <c r="C110" t="s">
        <v>322</v>
      </c>
      <c r="E110">
        <v>4.49</v>
      </c>
      <c r="F110" t="s">
        <v>26</v>
      </c>
      <c r="G110" t="s">
        <v>304</v>
      </c>
    </row>
    <row r="111" spans="1:13" x14ac:dyDescent="0.25">
      <c r="A111" t="s">
        <v>27</v>
      </c>
      <c r="B111" t="s">
        <v>323</v>
      </c>
      <c r="C111" t="s">
        <v>324</v>
      </c>
      <c r="E111">
        <v>4.49</v>
      </c>
      <c r="F111" t="s">
        <v>26</v>
      </c>
      <c r="G111" t="s">
        <v>304</v>
      </c>
    </row>
    <row r="112" spans="1:13" x14ac:dyDescent="0.25">
      <c r="A112" t="s">
        <v>165</v>
      </c>
      <c r="B112" t="s">
        <v>166</v>
      </c>
      <c r="C112" t="s">
        <v>167</v>
      </c>
      <c r="E112">
        <v>5.49</v>
      </c>
      <c r="F112" t="s">
        <v>26</v>
      </c>
      <c r="G112" t="s">
        <v>304</v>
      </c>
    </row>
    <row r="113" spans="1:7" x14ac:dyDescent="0.25">
      <c r="A113" t="s">
        <v>325</v>
      </c>
      <c r="B113" t="s">
        <v>326</v>
      </c>
      <c r="C113" t="s">
        <v>327</v>
      </c>
      <c r="E113">
        <v>4.49</v>
      </c>
      <c r="F113" t="s">
        <v>26</v>
      </c>
      <c r="G113" t="s">
        <v>304</v>
      </c>
    </row>
    <row r="114" spans="1:7" x14ac:dyDescent="0.25">
      <c r="A114" t="s">
        <v>51</v>
      </c>
      <c r="B114" t="s">
        <v>328</v>
      </c>
      <c r="C114" t="s">
        <v>329</v>
      </c>
      <c r="E114">
        <v>6</v>
      </c>
      <c r="F114" t="s">
        <v>26</v>
      </c>
      <c r="G114" t="s">
        <v>330</v>
      </c>
    </row>
    <row r="115" spans="1:7" x14ac:dyDescent="0.25">
      <c r="A115" t="s">
        <v>147</v>
      </c>
      <c r="B115" t="s">
        <v>148</v>
      </c>
      <c r="C115" t="s">
        <v>149</v>
      </c>
      <c r="E115">
        <v>9</v>
      </c>
      <c r="F115" t="s">
        <v>26</v>
      </c>
      <c r="G115" t="s">
        <v>330</v>
      </c>
    </row>
    <row r="116" spans="1:7" x14ac:dyDescent="0.25">
      <c r="A116" t="s">
        <v>144</v>
      </c>
      <c r="B116" t="s">
        <v>145</v>
      </c>
      <c r="C116" t="s">
        <v>146</v>
      </c>
      <c r="E116">
        <v>9</v>
      </c>
      <c r="F116" t="s">
        <v>26</v>
      </c>
      <c r="G116" t="s">
        <v>330</v>
      </c>
    </row>
    <row r="117" spans="1:7" x14ac:dyDescent="0.25">
      <c r="A117" t="s">
        <v>331</v>
      </c>
      <c r="B117" t="s">
        <v>332</v>
      </c>
      <c r="C117" t="s">
        <v>333</v>
      </c>
      <c r="E117">
        <v>6.99</v>
      </c>
      <c r="F117" t="s">
        <v>26</v>
      </c>
      <c r="G117" t="s">
        <v>334</v>
      </c>
    </row>
    <row r="118" spans="1:7" x14ac:dyDescent="0.25">
      <c r="A118" t="s">
        <v>335</v>
      </c>
      <c r="B118" t="s">
        <v>336</v>
      </c>
      <c r="C118" t="s">
        <v>337</v>
      </c>
      <c r="E118">
        <v>7.99</v>
      </c>
      <c r="F118" t="s">
        <v>26</v>
      </c>
      <c r="G118" t="s">
        <v>334</v>
      </c>
    </row>
    <row r="119" spans="1:7" x14ac:dyDescent="0.25">
      <c r="A119" t="s">
        <v>338</v>
      </c>
      <c r="B119" t="s">
        <v>339</v>
      </c>
      <c r="C119" t="s">
        <v>340</v>
      </c>
      <c r="E119">
        <v>7.49</v>
      </c>
      <c r="F119" t="s">
        <v>26</v>
      </c>
      <c r="G119" t="s">
        <v>341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OSC_2026-08-30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Sunil Agarwal</dc:creator>
  <cp:lastModifiedBy>Sunil Agarwal</cp:lastModifiedBy>
  <dcterms:created xsi:type="dcterms:W3CDTF">2026-09-30T17:27:12Z</dcterms:created>
  <dcterms:modified xsi:type="dcterms:W3CDTF">2026-09-30T17:27:12Z</dcterms:modified>
</cp:coreProperties>
</file>